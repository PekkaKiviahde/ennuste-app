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filterPrivacy="1" codeName="TämäTyökirja"/>
  <xr:revisionPtr revIDLastSave="5" documentId="8_{BCBBEE95-5DCF-4F5C-B4A3-6CBF49805178}" xr6:coauthVersionLast="47" xr6:coauthVersionMax="47" xr10:uidLastSave="{473CD908-66C5-4503-9F53-D70759589791}"/>
  <bookViews>
    <workbookView xWindow="-108" yWindow="-108" windowWidth="23256" windowHeight="13896" activeTab="4" xr2:uid="{00000000-000D-0000-FFFF-FFFF00000000}"/>
  </bookViews>
  <sheets>
    <sheet name="Ennuste" sheetId="453" r:id="rId1"/>
    <sheet name="Pääryhmätaso" sheetId="393" r:id="rId2"/>
    <sheet name="MuistioArkisto" sheetId="367" r:id="rId3"/>
    <sheet name="Tavo_Ennuste" sheetId="1" r:id="rId4"/>
    <sheet name="Jyda-ajo" sheetId="3" r:id="rId5"/>
  </sheets>
  <functionGroups builtInGroupCount="19"/>
  <definedNames>
    <definedName name="_xlnm._FilterDatabase" localSheetId="0" hidden="1">Ennuste!$A$23:$AC$23</definedName>
    <definedName name="_xlnm._FilterDatabase" localSheetId="2" hidden="1">MuistioArkisto!$A$1:$Q$1</definedName>
    <definedName name="_xlnm._FilterDatabase" localSheetId="3" hidden="1">Tavo_Ennuste!$A$1:$AC$493</definedName>
    <definedName name="_xlnm.Print_Titles" localSheetId="3">Tavo_Ennuste!#REF!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6" i="393" l="1"/>
  <c r="H25" i="393"/>
  <c r="D19" i="393"/>
  <c r="C19" i="393"/>
  <c r="B19" i="393"/>
  <c r="L12" i="393"/>
  <c r="K12" i="393"/>
  <c r="J12" i="393" s="1"/>
  <c r="I12" i="393"/>
  <c r="H12" i="393"/>
  <c r="G12" i="393"/>
  <c r="F12" i="393"/>
  <c r="E12" i="393"/>
  <c r="D12" i="393"/>
  <c r="C12" i="393"/>
  <c r="B12" i="393"/>
  <c r="B20" i="453"/>
  <c r="B12" i="453"/>
  <c r="F22" i="453"/>
  <c r="G22" i="453"/>
  <c r="H22" i="453"/>
  <c r="I22" i="453"/>
  <c r="J22" i="453"/>
  <c r="K22" i="453"/>
  <c r="D20" i="453"/>
  <c r="C20" i="453"/>
  <c r="N119" i="3" l="1"/>
  <c r="M119" i="3"/>
  <c r="L119" i="3"/>
  <c r="G119" i="3"/>
  <c r="E119" i="3"/>
  <c r="C119" i="3"/>
  <c r="H18" i="1" l="1"/>
  <c r="Q20" i="1" l="1"/>
  <c r="H20" i="1" s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9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2" i="1"/>
</calcChain>
</file>

<file path=xl/sharedStrings.xml><?xml version="1.0" encoding="utf-8"?>
<sst xmlns="http://schemas.openxmlformats.org/spreadsheetml/2006/main" count="6444" uniqueCount="890">
  <si>
    <t/>
  </si>
  <si>
    <t>Selite</t>
  </si>
  <si>
    <t>Määrä</t>
  </si>
  <si>
    <t>€/yksikkö</t>
  </si>
  <si>
    <t>erä</t>
  </si>
  <si>
    <t>0100</t>
  </si>
  <si>
    <t>Tontin vuokrakustannukset</t>
  </si>
  <si>
    <t>Tontin hankintakustannukset</t>
  </si>
  <si>
    <t>Muut kiinteistöstä aiheutuvat kustannukset</t>
  </si>
  <si>
    <t>0310</t>
  </si>
  <si>
    <t>ARK-Suunnittelu</t>
  </si>
  <si>
    <t>0320</t>
  </si>
  <si>
    <t>RAK-Suunnittelu</t>
  </si>
  <si>
    <t>0330</t>
  </si>
  <si>
    <t>LVI-Suunnittelu</t>
  </si>
  <si>
    <t>0340</t>
  </si>
  <si>
    <t>SÄHKÖ-Suunnittelu</t>
  </si>
  <si>
    <t>0350</t>
  </si>
  <si>
    <t>GEO-Suunnittelu</t>
  </si>
  <si>
    <t>0365</t>
  </si>
  <si>
    <t>Energialaskenta, -simulointi ja tiiveysmittaus</t>
  </si>
  <si>
    <t>0510</t>
  </si>
  <si>
    <t>Rakennuslupamaksut</t>
  </si>
  <si>
    <t>0551</t>
  </si>
  <si>
    <t>Rakennustyövakuutus</t>
  </si>
  <si>
    <t>0552</t>
  </si>
  <si>
    <t>Rakennusaikaisen vakuuden korot</t>
  </si>
  <si>
    <t>0553</t>
  </si>
  <si>
    <t>Takuuajan vakuuden korot</t>
  </si>
  <si>
    <t>0601</t>
  </si>
  <si>
    <t>Vesi- ja viemäriliittymä</t>
  </si>
  <si>
    <t>0602</t>
  </si>
  <si>
    <t>Kaukolämpöliittymä</t>
  </si>
  <si>
    <t>0603</t>
  </si>
  <si>
    <t>Sähköliittymä</t>
  </si>
  <si>
    <t>1100</t>
  </si>
  <si>
    <t>Vanhojen rakennusten purkukustannukset KAARNAN OSUUS PESULASTA</t>
  </si>
  <si>
    <t>1200</t>
  </si>
  <si>
    <t>Tilavuuskaivu leikkaustasoon, hox, luiskaus kaavan kautta</t>
  </si>
  <si>
    <t>m3</t>
  </si>
  <si>
    <t>Kaivettujen massojen poiskuljetus OULU</t>
  </si>
  <si>
    <t>m3irt</t>
  </si>
  <si>
    <t>MRU työnjohtokulut</t>
  </si>
  <si>
    <t>kk</t>
  </si>
  <si>
    <t>Kaluston lavettisiirrot</t>
  </si>
  <si>
    <t>kpl</t>
  </si>
  <si>
    <t>Suodatinkangas KL 2 kerroksen pohjalle</t>
  </si>
  <si>
    <t>m2</t>
  </si>
  <si>
    <t>Alustäyttö massoineen, tiivistetyt kuutiot</t>
  </si>
  <si>
    <t>Alustäytön tiivistäminen</t>
  </si>
  <si>
    <t>Tilavuustäyttö massoineen, tiivistetyt kuutiot</t>
  </si>
  <si>
    <t>Tilavuustäytön tiivistäminen</t>
  </si>
  <si>
    <t>Sisätäyttö massoineen, tiivistetyt kuutiot</t>
  </si>
  <si>
    <t>Sisätäytön tiivistäminen</t>
  </si>
  <si>
    <t>Suodatinkangas KL 2 salaojakerroksen reunaan</t>
  </si>
  <si>
    <t>Sokkelin salaojatäyttö massoineen, tiivistetyt kuutiot</t>
  </si>
  <si>
    <t>Sokkelin salaojatäytön tiivistäminen</t>
  </si>
  <si>
    <t>Täyttökerrosten tiivistäminen</t>
  </si>
  <si>
    <t>Liikennealueen Kantava kerros, tiivistetyt kuutiot</t>
  </si>
  <si>
    <t>Liikennealueen Eristävä kerros, tiivistetyt kuutiot</t>
  </si>
  <si>
    <t>1450</t>
  </si>
  <si>
    <t>PONTTAUS, KAARNATIEN OSUUS PONTTAUKSESTA</t>
  </si>
  <si>
    <t>1500</t>
  </si>
  <si>
    <t>Ulkopuolinen LVVS pumppaamoineen yms. Urakka-alue Kaarna</t>
  </si>
  <si>
    <t>Rakennusten putkistojen kaivuu ja täyttötyöt</t>
  </si>
  <si>
    <t>jm</t>
  </si>
  <si>
    <t>1730</t>
  </si>
  <si>
    <t>Asfalttibetoni AB 16/120, Valitse määrä!</t>
  </si>
  <si>
    <t>Asfalttialueiden profilointi 0-50mm, KaM 0-20/32, Valitse määrä!</t>
  </si>
  <si>
    <t>Autopaikkojen kestomerkintä massalla</t>
  </si>
  <si>
    <t>1740</t>
  </si>
  <si>
    <t>PIHA-URAKKA-ARVIO, PINNAT</t>
  </si>
  <si>
    <t>1800</t>
  </si>
  <si>
    <t xml:space="preserve"> Leikkiset, leikkivälineet</t>
  </si>
  <si>
    <t>Ulkopuoliset Polkupyöräpaikat</t>
  </si>
  <si>
    <t>Molok- DOMINO jäteastiat</t>
  </si>
  <si>
    <t>Molok- jäteastiaston asennus</t>
  </si>
  <si>
    <t>2080</t>
  </si>
  <si>
    <t>Kumibitumikermi MP seinään</t>
  </si>
  <si>
    <t>MP seinän pystyeriste EPS 120 PRO ROUTA, kuorielementin takana 100mm</t>
  </si>
  <si>
    <t>MP seinän pystyeriste EPS 120 PRO ROUTA, maata vasten 50mm</t>
  </si>
  <si>
    <t>Sokkelin yläpään taitettu bitumikaista + viistetty villa</t>
  </si>
  <si>
    <t>Anturan yläpinnan bitumisively</t>
  </si>
  <si>
    <t>2200</t>
  </si>
  <si>
    <t>Laastikallistus sokkelin juureen</t>
  </si>
  <si>
    <t>Nauha-anturan muotitus</t>
  </si>
  <si>
    <t>Nauha-anturan raudoitus</t>
  </si>
  <si>
    <t>kg</t>
  </si>
  <si>
    <t>Nauha-anturan betonointi</t>
  </si>
  <si>
    <t>Pilarin suojavalumuotitus</t>
  </si>
  <si>
    <t>Pilarianturan muotitus</t>
  </si>
  <si>
    <t>Pilarianturan raudoitus</t>
  </si>
  <si>
    <t>Pilarin suojavalubetonointi</t>
  </si>
  <si>
    <t>Pilarianturan betonointi</t>
  </si>
  <si>
    <t>Pilarianturan yläpinnan bitumisively</t>
  </si>
  <si>
    <t>Pilarianturan pystyeriste 100S 100mm</t>
  </si>
  <si>
    <t>Pilarianturan vaakaeriste 100S 100mm</t>
  </si>
  <si>
    <t>Peruspulttiryhmä Pilarianturaan</t>
  </si>
  <si>
    <t>PS: Perusmuurikorotus, H=1180, TB300, Pieliseinien alle</t>
  </si>
  <si>
    <t>Perusmuurikorotuksen muotitus</t>
  </si>
  <si>
    <t>Perusmuurikorotuksen raudoitus</t>
  </si>
  <si>
    <t>Perusmuurikorotuksen betonointi</t>
  </si>
  <si>
    <t>PV-MP-seinän betonointi</t>
  </si>
  <si>
    <t>PV-MP-seinän raudoitus</t>
  </si>
  <si>
    <t>PV-MP-Seinien kasettimuottityö+purku+puhdistus</t>
  </si>
  <si>
    <t>PV-MP-Seinien työsaumaraudoitteet</t>
  </si>
  <si>
    <t>PV-pilasterin muotitus</t>
  </si>
  <si>
    <t>PV-pilasterin raudoitus</t>
  </si>
  <si>
    <t>PV-pilasterin betonointi</t>
  </si>
  <si>
    <t>2250</t>
  </si>
  <si>
    <t>KE- Sokkelikuorielementtien asennus</t>
  </si>
  <si>
    <t>PS: KE- Sokkelikuorielementit H=700-1200mm, TB120</t>
  </si>
  <si>
    <t>PS: AS- Sokkelielementit H=1135mm, ( TB90 + 100ER + TB180 )</t>
  </si>
  <si>
    <t>AS- Sokkelielementtien asennus</t>
  </si>
  <si>
    <t>AS- Elementtien pystysaumasbetonit</t>
  </si>
  <si>
    <t>PS: AV/AK- Sokkelielementit H=1135mm,  (TB160+100ER)</t>
  </si>
  <si>
    <t>AV/AK- Sokkelielementtien asennus</t>
  </si>
  <si>
    <t>AV/AK- Elementtien pystysaumasbetonit</t>
  </si>
  <si>
    <t>Reunavalukiinnityksen muotitus</t>
  </si>
  <si>
    <t>Reunavalukiinnityksen betonointi</t>
  </si>
  <si>
    <t>Kuorielementtien kiinnitys Weldat ja Lattateräkset</t>
  </si>
  <si>
    <t>Kuorielementtien Putkikannatukset</t>
  </si>
  <si>
    <t>2500</t>
  </si>
  <si>
    <t>MV-laatan hierto</t>
  </si>
  <si>
    <t>MV-laatan betonointi</t>
  </si>
  <si>
    <t>MV-laatan raudoitus</t>
  </si>
  <si>
    <t>MV-laatan eristys EPS 100 LATTIA 100mm</t>
  </si>
  <si>
    <t>MV-laatan suodatinkangas</t>
  </si>
  <si>
    <t>Radonkaistan asennus Muurin ja MV-laatan liittymään</t>
  </si>
  <si>
    <t>Laatan reunojen saumakittaus</t>
  </si>
  <si>
    <t>Betonilattian hionta, liiman poisto</t>
  </si>
  <si>
    <t>VSS-seinän betonointi, Hox! Xypex lisäaineen tarve määritettävä</t>
  </si>
  <si>
    <t>VSS-seinän raudoitus</t>
  </si>
  <si>
    <t>VSS-Seinien kasettimuottityö+purku+puhdistus</t>
  </si>
  <si>
    <t>VSS-väliseinän betonointi</t>
  </si>
  <si>
    <t>VSS-väliseinän raudoitus</t>
  </si>
  <si>
    <t>VSS-väliseinien kasettimuottityö+purku+puhdistus</t>
  </si>
  <si>
    <t>VSS-VP-laatan hierto</t>
  </si>
  <si>
    <t>VSS-VP-laatan betonointi</t>
  </si>
  <si>
    <t>VSS-VP-laatan raudoitus</t>
  </si>
  <si>
    <t>VSS-VP muottityö+purku+puhdistus</t>
  </si>
  <si>
    <t>VSS-VP reunamuottaus,</t>
  </si>
  <si>
    <t>VSS-VP-sirpaleverkko</t>
  </si>
  <si>
    <t>VSS-Betonipintojen paikkaus</t>
  </si>
  <si>
    <t>2600</t>
  </si>
  <si>
    <t>Laatan reunojen saumakittaus+solumuovinauha</t>
  </si>
  <si>
    <t>MV-laatan eristys EPS 100 LATTIA 70mm</t>
  </si>
  <si>
    <t>2830</t>
  </si>
  <si>
    <t>Porrasaskelmien hierto</t>
  </si>
  <si>
    <t>Porras askelmien betonointi</t>
  </si>
  <si>
    <t>Porrasaskelmien raudoitus</t>
  </si>
  <si>
    <t>Porrasaskelmien muotitus</t>
  </si>
  <si>
    <t>PS: Ulkop.RV-laatta TB 80..100 , ER50, Vahvennos reunassa 500/500</t>
  </si>
  <si>
    <t>Ulkop.-laatan hierto</t>
  </si>
  <si>
    <t>Ulkop.-laatan betonointi</t>
  </si>
  <si>
    <t>Ulkop.-laatan raudoitus</t>
  </si>
  <si>
    <t>Ulkop.-laatan suodatinkangas</t>
  </si>
  <si>
    <t>RV-laatan muotitus</t>
  </si>
  <si>
    <t>RV-laatan betonointilisä</t>
  </si>
  <si>
    <t>RV-laatan eristys EPS 100 LATTIA 50mm</t>
  </si>
  <si>
    <t>RV-laatan eristys EPS 100 LATTIA 100mm</t>
  </si>
  <si>
    <t>Sisäänkäynnin Teräspilarit 150x150x5, H=2750</t>
  </si>
  <si>
    <t>Teräspilarit 150x150x5, H=2750</t>
  </si>
  <si>
    <t>Teräspilarin asennus</t>
  </si>
  <si>
    <t>Terassilaudoitus, Kestopuu 28x120, Terassin reunat ja päädyt</t>
  </si>
  <si>
    <t>Terassin kannatus sokkeliin, Kestopuu 48x123</t>
  </si>
  <si>
    <t>Terassin kannatus etulaidasta, Kestopuu 48x173</t>
  </si>
  <si>
    <t>Terassin runko, Kestopuu 48x173 k600</t>
  </si>
  <si>
    <t>Teräspalkki UPE160, L=2000</t>
  </si>
  <si>
    <t>Teräspalkin UPE Päätylaput työstöineen</t>
  </si>
  <si>
    <t>Teräspalkki IPExxx, L=xxxx</t>
  </si>
  <si>
    <t>Teräspalkin IPE asennus, omatyö</t>
  </si>
  <si>
    <t>Kiinnityslatat IPE k xxx lisähintavaraus</t>
  </si>
  <si>
    <t>Katon alapinnan koolaus 22x100  k400</t>
  </si>
  <si>
    <t>Kattopalkisto 48x123 k800, L=3600</t>
  </si>
  <si>
    <t>Kattopintojen OSB-levytys</t>
  </si>
  <si>
    <t>Vesikate VE20...40, kumibitumikermein</t>
  </si>
  <si>
    <t>3020</t>
  </si>
  <si>
    <t>Delta-Palkin asennus</t>
  </si>
  <si>
    <t>Delta-Palkit D32 ja D37 konepajatöineen TARJOUS</t>
  </si>
  <si>
    <t>Petra-palkin asennus</t>
  </si>
  <si>
    <t>PETRA special 370-L480-620, 370-st370</t>
  </si>
  <si>
    <t>PETRA special 320-L480-620, 320-st320</t>
  </si>
  <si>
    <t>3110</t>
  </si>
  <si>
    <t>V-seinäelementtien asennus</t>
  </si>
  <si>
    <t>V- Elementtien pystysaumasbetonit</t>
  </si>
  <si>
    <t xml:space="preserve">V-Väliseinäelementit TB180, </t>
  </si>
  <si>
    <t xml:space="preserve">V-Väliseinäelementit TB200 </t>
  </si>
  <si>
    <t>3120</t>
  </si>
  <si>
    <t>Painelaatikon raudoitus</t>
  </si>
  <si>
    <t>Painelaatikon betonointi</t>
  </si>
  <si>
    <t>Viemärin painelaatikoiden työ</t>
  </si>
  <si>
    <t>Massiivilaattojen asennus, sis.tukkolautojen asennuksen</t>
  </si>
  <si>
    <t>Massiivilaattojen saumabetonointi</t>
  </si>
  <si>
    <t>Massiivilaatta L- TB 240</t>
  </si>
  <si>
    <t>Massiivilaattojen tukkolaudoitus &lt; 150mm</t>
  </si>
  <si>
    <t>Ontelokentän PV-kaistat betonointi</t>
  </si>
  <si>
    <t>Ontelokentän PV-kaistat raudoitus</t>
  </si>
  <si>
    <t>Ontelokentän PV-kaistat muotitus</t>
  </si>
  <si>
    <t>Ontelokentän tukkolaudoitukset</t>
  </si>
  <si>
    <t>Ontelokentän varauskolomuottaukset ja niiden juotokset</t>
  </si>
  <si>
    <t>O32 Ontelolaatta TB320, O32= 64 kpl</t>
  </si>
  <si>
    <t>O37 + O37K - Ontelolaatta TB370, O37=194 kpl, O37K=109 kpl</t>
  </si>
  <si>
    <t xml:space="preserve">2O37 + 2O37K - Ontelolaatta TB370, 2O37=11 kpl, 2O37K= 3kpl, [ REI xxx ] </t>
  </si>
  <si>
    <t>Ontelolaattojen asennus, sis.saumavalutyöt, hox! €/m2</t>
  </si>
  <si>
    <t>Ontelolaattojen saumabetonit</t>
  </si>
  <si>
    <t>Painelaatikon muotitus vanerilla</t>
  </si>
  <si>
    <t>3130</t>
  </si>
  <si>
    <t>SK-seinäelementtien asennus + ulkopuolen tilkkaukset</t>
  </si>
  <si>
    <t>SK-Elementtien pystysaumabetonit</t>
  </si>
  <si>
    <t>SK-elementit TB150+ER180</t>
  </si>
  <si>
    <t>3140</t>
  </si>
  <si>
    <t>Hissikuilun ylälaatta</t>
  </si>
  <si>
    <t>Hissikuiluelementtien asennus</t>
  </si>
  <si>
    <t>Elementtien juotosbetoni</t>
  </si>
  <si>
    <t>3150</t>
  </si>
  <si>
    <t>Porraselementtien juotosbetonointi</t>
  </si>
  <si>
    <t>Porraselementti Elemento 1</t>
  </si>
  <si>
    <t>Porraselementin asennus</t>
  </si>
  <si>
    <t>Porrasaskelsuojat</t>
  </si>
  <si>
    <t>Porraselementtien jälkityöt</t>
  </si>
  <si>
    <t>3170</t>
  </si>
  <si>
    <t>M-Pielielementtien asennus</t>
  </si>
  <si>
    <t>M-Parvekkeen pielielementit TBxxx H=xxxx</t>
  </si>
  <si>
    <t>CL-Parvekelaatan asennus</t>
  </si>
  <si>
    <t>CX-Parvekekattolaatan asennus</t>
  </si>
  <si>
    <t>CL-Kiila-Parvekelaatta TB240, pielikannatteinen</t>
  </si>
  <si>
    <t>PS: CX-Kiila-Parvekkeen kattolaatta TBxxx, pielikannatteinen</t>
  </si>
  <si>
    <t>PS: CX-Tasapaksu-Parvekkeen kattolaatta TBxxx, pielikannatteinen</t>
  </si>
  <si>
    <t>PS: P-Pilarielementti, 280 x 280, H=2720, Parvekepilarit</t>
  </si>
  <si>
    <t>PS: P-Pilarielementti, 380 x 380, H=2950</t>
  </si>
  <si>
    <t>PS: P-Pilarielementti, 580 x 380, H=6040</t>
  </si>
  <si>
    <t>P-pilarielementtien asennus</t>
  </si>
  <si>
    <t>PS: CP-Pilarielementti, d=280, pyöreä, H=2720, Parvekepilarit</t>
  </si>
  <si>
    <t>CP-pilarielementtien asennus</t>
  </si>
  <si>
    <t>3350</t>
  </si>
  <si>
    <t>Seinäelementtien etupaikkaus</t>
  </si>
  <si>
    <t>PV-MP-Betonipintojen paikkaus</t>
  </si>
  <si>
    <t>3500</t>
  </si>
  <si>
    <t>Ulkoseinän sisäverhous, 13mm kipsilevy</t>
  </si>
  <si>
    <t>Ulkoseinän villoitus 50mm</t>
  </si>
  <si>
    <t>US-kipsilevytys+ 50mm villa</t>
  </si>
  <si>
    <t>3550</t>
  </si>
  <si>
    <t>Puu-ulkoseinäelementti (US01/ US02 /US04 /US05 /US07)</t>
  </si>
  <si>
    <t>Puu-ulkoseinäelementtien alajuoksut ja haittatyöt</t>
  </si>
  <si>
    <t>Puu-ulkoseinäelementin asennus 1-6 KRS</t>
  </si>
  <si>
    <t>Ikkunoiden asennus tehtaalla elementteihin</t>
  </si>
  <si>
    <t>Puuelementtien suunnittelukulut</t>
  </si>
  <si>
    <t>Puuelementtien rahtikulut</t>
  </si>
  <si>
    <t>3600</t>
  </si>
  <si>
    <t>Terassimatot parvekkeille</t>
  </si>
  <si>
    <t>Parvekkeiden kevyet väliseinät [ EI15 ] Luja-A</t>
  </si>
  <si>
    <t>Parvekkeen väliseinän runko</t>
  </si>
  <si>
    <t>Ulkoseinän tuuletuskoolaus 2x22mm, k400</t>
  </si>
  <si>
    <t>Seinävierustan Sika Multiseal Bitumiteippaus</t>
  </si>
  <si>
    <t>3700</t>
  </si>
  <si>
    <t>Kattorakenteen otsa- ja aluslaudoitus</t>
  </si>
  <si>
    <t>Katon poikoset ja päätylankku</t>
  </si>
  <si>
    <t>Kattopintojen Raakaponttilaudoitus / OSB-levytys</t>
  </si>
  <si>
    <t>Tuulenohjaimet</t>
  </si>
  <si>
    <t>Kattopollarien ja Vilpehattujen tukirakenteet</t>
  </si>
  <si>
    <t>Kattotuolien revaukset ja tukilankkulinjat</t>
  </si>
  <si>
    <t>Vesikaton TYÖURAKKA</t>
  </si>
  <si>
    <t>Katon palokatkolevytyksen koolausrunko 48x98mm, k600</t>
  </si>
  <si>
    <t>Katon palokatkolevytys, 2x13mm KN</t>
  </si>
  <si>
    <t>Ullakon eristyksen tukiseinät ristikkoväleihin</t>
  </si>
  <si>
    <t>Ullakon eristyksen tukiseinät ristikkoväleihin TS levytys-9mm, nm2</t>
  </si>
  <si>
    <t>Ullakon kulkusilta 4x48x123</t>
  </si>
  <si>
    <t>Kattoluukku 600x600: lankkukehys/vanerikansi pellitettynä</t>
  </si>
  <si>
    <t>Kattoluukun reiän teko ja tukilankut</t>
  </si>
  <si>
    <t>SP-ikkunakorokkeen puurunko 48x198 k600</t>
  </si>
  <si>
    <t>SP-ikkunakorokkeen villoitus 200mm, nm2</t>
  </si>
  <si>
    <t>SP-ikkunakorokkeen OSB-levytys</t>
  </si>
  <si>
    <t>SP-ikkunakorokkeen HS + 2xKPS-levytys</t>
  </si>
  <si>
    <t>Hissikuilun yläkupin eristys</t>
  </si>
  <si>
    <t>EPS 100S 150mm, Hissikupin ympärille</t>
  </si>
  <si>
    <t>Ullakon osuuden 48x98 koolaus + TS levytys,Rappauslevyn taakse</t>
  </si>
  <si>
    <t>Ullakko-osuuden seinän koolaus 48x49, k600</t>
  </si>
  <si>
    <t>Ullakko-osuuden seinän TS-levytys</t>
  </si>
  <si>
    <t>3720</t>
  </si>
  <si>
    <t>Kattoristikot</t>
  </si>
  <si>
    <t>3750</t>
  </si>
  <si>
    <t>Katon Eristys,  500 Puhallusvilla</t>
  </si>
  <si>
    <t>4100</t>
  </si>
  <si>
    <t>IA - (MSEA), Puualumiini-ikkuna, karmi 170/210mm</t>
  </si>
  <si>
    <t>Lisähinta, puuikkunan sälekaihtimet, MEK</t>
  </si>
  <si>
    <t>IK - (MEK)- Kiinteät ikkunat, m²-pohjainen, karmi 170/210mm</t>
  </si>
  <si>
    <t>PO - Parvekkeiden ja terassien Lasiulko-ovet 10x23</t>
  </si>
  <si>
    <t>Lisähinta, puuikkunan sälekaihtimet, PO-parvekeovet</t>
  </si>
  <si>
    <t>Lisähinta, puuikkunan sälekaihtimet, RPO</t>
  </si>
  <si>
    <t>RPO-Paketti10x20  ICCUNA</t>
  </si>
  <si>
    <t>RPO-Paketti18x20 Kaksiosainen   ICCUNA</t>
  </si>
  <si>
    <t>RPO-ovet, ASENNUS</t>
  </si>
  <si>
    <t>Parvekeovien ASENNUS, sis. vaahdotukset ja haalaukset</t>
  </si>
  <si>
    <t>Ikkunoiden ja terassiovien haalaus</t>
  </si>
  <si>
    <t>4200</t>
  </si>
  <si>
    <t>SavunpoistoLUUKKU katolla</t>
  </si>
  <si>
    <t>Kiinteä tikas SPL/KL luukkuun</t>
  </si>
  <si>
    <t>4300</t>
  </si>
  <si>
    <t>Huoneisto-ovet,  ASENNUS</t>
  </si>
  <si>
    <t>Huoneisto-oven tammikynnys</t>
  </si>
  <si>
    <t>Huoneisto-ovi 10-11x21M</t>
  </si>
  <si>
    <t>Väliovet, ASENNUS</t>
  </si>
  <si>
    <t>Väliovi VO 7/10x21, laakaovi, karmi 92mm</t>
  </si>
  <si>
    <t>Kostean tilan väliovi VO-K 9 x 21</t>
  </si>
  <si>
    <t>Kostean tilan väliovet, ASENNUS</t>
  </si>
  <si>
    <t>Välioven kostean tilan kynnys</t>
  </si>
  <si>
    <t>Löylyhuoneen lasiovi, korkea pystyvedin,  M8x19</t>
  </si>
  <si>
    <t>Saunan lasioven ASENNUS</t>
  </si>
  <si>
    <t>Liukuovi M9 x 21, Seinäkiinnitteinen</t>
  </si>
  <si>
    <t>Sisäovien haalaus</t>
  </si>
  <si>
    <t>4330</t>
  </si>
  <si>
    <t>MLS-Alumiinilasiseinä 8,2m x 13,8m</t>
  </si>
  <si>
    <t>MLS Alumiinilasiseinä, ASENNUS</t>
  </si>
  <si>
    <t>Alumiinilasiseinän sisäpuolen pellitykset</t>
  </si>
  <si>
    <t>Metallisen ulko-oven sisäpuolen pellitykset</t>
  </si>
  <si>
    <t>Alumiini ulko-ovi, ASENNUS</t>
  </si>
  <si>
    <t>Alumiini-ulko-ovi 10+2 x 23M, Lasiaukolla</t>
  </si>
  <si>
    <t xml:space="preserve">Alumiini-ulko-ovi 10 x 23M, </t>
  </si>
  <si>
    <t>SPI-Savunpoistoikkunat</t>
  </si>
  <si>
    <t>SPI-Savunpoistoikkunat ASENNUS</t>
  </si>
  <si>
    <t>Parvekelaatan ja seinänvierustan tiivistyspellitys LL=100-200</t>
  </si>
  <si>
    <t>Teräksinen väliovi [EI30] 10x21</t>
  </si>
  <si>
    <t>Teräksinen väliovi [EI60] 10x21</t>
  </si>
  <si>
    <t>TVPO- (MO)  Teräksinen pariväliovi [EI30] 14x21</t>
  </si>
  <si>
    <t>Teräksinen väliovi, ASENNUS</t>
  </si>
  <si>
    <t>Metallisen välioven pellitykset</t>
  </si>
  <si>
    <t>Metallisen välioven tiivistys ja kittaus</t>
  </si>
  <si>
    <t>Metallisen välioven kynnyspellitys</t>
  </si>
  <si>
    <t>4360</t>
  </si>
  <si>
    <t>Lukitus ja heloitusurakka Certego</t>
  </si>
  <si>
    <t>as</t>
  </si>
  <si>
    <t>4510</t>
  </si>
  <si>
    <t>Kevyen seinän runko + levytys (13+66+13) ALIURAKKANA</t>
  </si>
  <si>
    <t>Kevyt väliseinä (13+66+13) Kuivatila-PSH/WC</t>
  </si>
  <si>
    <t>Kevyen seinän runko + levytys (13+66+13)  ALIURAKKANA</t>
  </si>
  <si>
    <t>Kevyt väliseinä (66+13) PSH/Kuivatila-Sauna ( PAPERIT JA KOOLAUKSET TOISAALLA )</t>
  </si>
  <si>
    <t>Kevyen seinän runko + levytys (66+13) ALIURAKKANA</t>
  </si>
  <si>
    <t>Kipsiseinän äänieristemassaus</t>
  </si>
  <si>
    <t>Kevyt väliseinä (13+95+13) Jakotukki ja Ryhmäkeskus seinä ERISTETTY</t>
  </si>
  <si>
    <t>4520</t>
  </si>
  <si>
    <t xml:space="preserve"> Alaslaskettu kipsikatto, tavanomainen</t>
  </si>
  <si>
    <t>Alaslaskun roikotus + vaakakoolaus 25x100  k400</t>
  </si>
  <si>
    <t>Alaslaskun kipsilevytys, 13mm kipsilevy</t>
  </si>
  <si>
    <t>Alaslaskettu kipsikatto, Tavanomainen ALIURAKKANA</t>
  </si>
  <si>
    <t>Alaslaskettu kipsikatto, Otsapinnat ALIURAKKANA</t>
  </si>
  <si>
    <t>Alaslaskun roikotus + vaakakoolaus Teräsranka 66 k400</t>
  </si>
  <si>
    <t>Alaslaskettu kipsikatto, EI30 ALIURAKKANA</t>
  </si>
  <si>
    <t>4530</t>
  </si>
  <si>
    <t>Hormien seinät (66+2x13) ALIURAKKANA</t>
  </si>
  <si>
    <t>Hormiseinän äänieristemassaus</t>
  </si>
  <si>
    <t>4540</t>
  </si>
  <si>
    <t xml:space="preserve">Kalkkihiekkatiilimuuraus 130mm </t>
  </si>
  <si>
    <t>4600</t>
  </si>
  <si>
    <t>Irtaimistokopit Kaustisen elementtivalmiste</t>
  </si>
  <si>
    <t>4700</t>
  </si>
  <si>
    <t>Sisäpuoliset Käsijohteet asennettuna</t>
  </si>
  <si>
    <t>Teräspinnakaide H=1200, Sisäpuolinen ja ulkopuoliset</t>
  </si>
  <si>
    <t>Teräspinnakaide H=1200</t>
  </si>
  <si>
    <t>Käsijohde ulkoportaisiin. Maasta kannakoitu</t>
  </si>
  <si>
    <t>Parvekelasitus Lasikaiteen päälle ML0</t>
  </si>
  <si>
    <t xml:space="preserve">Parvekkeen Lasikaide H=1050, </t>
  </si>
  <si>
    <t>Asuntopihojen Lasiset terassiovet 8x24 asennettuna</t>
  </si>
  <si>
    <t>Parvekkeen Pinnakaide lasikaiteen päälle H=1050</t>
  </si>
  <si>
    <t>Asuntopihojen LEGI-aidat</t>
  </si>
  <si>
    <t>5110</t>
  </si>
  <si>
    <t>Katon vesikattovarusteet ja vedenpoisto KOKONAISURAKKA</t>
  </si>
  <si>
    <t>5180</t>
  </si>
  <si>
    <t>Vesikate VE80, kumibitumikermein</t>
  </si>
  <si>
    <t>Tippapelti pural 0,5mm asennettuna LL=178-208mm</t>
  </si>
  <si>
    <t>Reuna- ja räystäspelti limiliitoksin asennettuna pural 0,5mm</t>
  </si>
  <si>
    <t>Vilpet asennettuna</t>
  </si>
  <si>
    <t>Kattopollarit</t>
  </si>
  <si>
    <t>Vedeneristyksen seinällenosto VE20...40</t>
  </si>
  <si>
    <t>Höyrynsulkukermi</t>
  </si>
  <si>
    <t>5240</t>
  </si>
  <si>
    <t>Märkätilan seinän Vesieristys</t>
  </si>
  <si>
    <t xml:space="preserve">Märkätilan seinän Laatoitus </t>
  </si>
  <si>
    <t>Seinälaatoituksen saniteettisilikonit</t>
  </si>
  <si>
    <t>PSH lattiakaivojen kannet</t>
  </si>
  <si>
    <t>Laattojen haalauskulut</t>
  </si>
  <si>
    <t>Märkätilan lattialaatoitus PSH + SAUNA</t>
  </si>
  <si>
    <t>Lattialaatoituksen pohjatyöt</t>
  </si>
  <si>
    <t>Lattialaatoitus 100x100</t>
  </si>
  <si>
    <t>Lattialaatoituksen vesieriste</t>
  </si>
  <si>
    <t>5245</t>
  </si>
  <si>
    <t>Lattialaatoitus 300x600</t>
  </si>
  <si>
    <t>5260</t>
  </si>
  <si>
    <t>Jalkalistoitus, Tehdaslakattu mänty 12x42, ruuvikiinnitys</t>
  </si>
  <si>
    <t>Puuikkunan listoitus 12x42</t>
  </si>
  <si>
    <t>Huoneisto-ovien listoitus 12x42, molemmin puolin</t>
  </si>
  <si>
    <t>Väliovien listoitus 12x42, molemmin puolin</t>
  </si>
  <si>
    <t>Liukuovien smyygien kulmalistat</t>
  </si>
  <si>
    <t>Väliovien listoitus kosteat tilat 12x42, molemmin puolin</t>
  </si>
  <si>
    <t>Liukuovien kynnyslista</t>
  </si>
  <si>
    <t>Saunan oven listoitus muovilista 12x42 + mäntylista</t>
  </si>
  <si>
    <t>Parvekeovet listoitus 12x42</t>
  </si>
  <si>
    <t>5350</t>
  </si>
  <si>
    <t xml:space="preserve"> Avattava ja akustoiva katto T-listoilla 600x600, asennettuna</t>
  </si>
  <si>
    <t xml:space="preserve"> Liimattavat akustolevyt</t>
  </si>
  <si>
    <t>5530</t>
  </si>
  <si>
    <t xml:space="preserve">Ikkunan ulkopuoliset smyygipellitykset </t>
  </si>
  <si>
    <t>Ikkunan vesipellit</t>
  </si>
  <si>
    <t>Alumiinilasiseinän ulkopuoliset smyygipellitykset</t>
  </si>
  <si>
    <t>Sisäänkäynnin kattopellitykset</t>
  </si>
  <si>
    <t>Ulko-oven ulkopuoliset smyygipellitykset</t>
  </si>
  <si>
    <t>Metalliulko-oven vesipelti, riisipelti</t>
  </si>
  <si>
    <t>Parvekeoven ulkopuoliset smyygipellitykset</t>
  </si>
  <si>
    <t>Parvekeoven vesipelti, riisipelti</t>
  </si>
  <si>
    <t>SP-valokuiluikkunan pellitykset</t>
  </si>
  <si>
    <t>5540</t>
  </si>
  <si>
    <t>Julkisivumuuraus 135mm RT60</t>
  </si>
  <si>
    <t>Muuraustarvikkeet, siilot</t>
  </si>
  <si>
    <t>Aukon ylityspalkit Amutek</t>
  </si>
  <si>
    <t>5550</t>
  </si>
  <si>
    <t>Julkisivun Levyrappaus</t>
  </si>
  <si>
    <t>5560</t>
  </si>
  <si>
    <t>Ulkoseinän tuuletuskoolaus 25mm, k600</t>
  </si>
  <si>
    <t>Tuuletuskoolauksen roppauslisä eristeen läpi</t>
  </si>
  <si>
    <t>Ulkoverhouspaneeli  Vaaka UYV 23x120</t>
  </si>
  <si>
    <t>Kattopinnan Luja-A levytys 12mm</t>
  </si>
  <si>
    <t>Ulkoseinän pystykoolaus levytyksen taakse, 25x100 k600</t>
  </si>
  <si>
    <t>Ulkoverhous Cembrit Patina</t>
  </si>
  <si>
    <t>Ulkoverhous Cembrit, Permabase ASENNUS</t>
  </si>
  <si>
    <t>Ulkoseinän Luja-A levytys 12mm</t>
  </si>
  <si>
    <t>5570</t>
  </si>
  <si>
    <t>Elementtien elastiset saumamassaukset</t>
  </si>
  <si>
    <t>Porraselementtien elastiset saumamassaukset</t>
  </si>
  <si>
    <t>Muurauksen Liikuntasaumojen elastiset saumamassaukset</t>
  </si>
  <si>
    <t>5600</t>
  </si>
  <si>
    <t>PB-laatan eristys 100mm ER</t>
  </si>
  <si>
    <t>PB-laatan hierto</t>
  </si>
  <si>
    <t>KAATOLATTIOIDEN VALUTYÖT JA KALLISTUSHIERROT</t>
  </si>
  <si>
    <t>PB-laatan betonointi</t>
  </si>
  <si>
    <t>KAATOLATTIOIDEN  betonointi</t>
  </si>
  <si>
    <t>PB-laatan raudoitus</t>
  </si>
  <si>
    <t>Kaatovalulattioiden pohjatyöt</t>
  </si>
  <si>
    <t>5640</t>
  </si>
  <si>
    <t>Matala-alk. plaano, 140 NOVA Plus 15mm 25,5kg / m2, sis. Primer</t>
  </si>
  <si>
    <t>Korkojen merkintä pumpattavalle alueelle</t>
  </si>
  <si>
    <t>Plaanojen esivalmistelut</t>
  </si>
  <si>
    <t>Ovien tukkolauta + kittaus</t>
  </si>
  <si>
    <t>5660</t>
  </si>
  <si>
    <t>Asuinhuoneiden Laminaattilattiat L01</t>
  </si>
  <si>
    <t>Lattialaminaatti asennettuna</t>
  </si>
  <si>
    <t>Laminaattiasennuksen pohjatyöt</t>
  </si>
  <si>
    <t>Laminaattiasennuksen jälkeinen lattioiden suojaus</t>
  </si>
  <si>
    <t>Välioven kohdalle lattiasaumalista</t>
  </si>
  <si>
    <t>5690</t>
  </si>
  <si>
    <t>Askeläänimuovimatto, Upofloor Estrad</t>
  </si>
  <si>
    <t>Mattolattioiden muovijalkalistat</t>
  </si>
  <si>
    <t>Lattioiden suojaus, sis.materiaalit</t>
  </si>
  <si>
    <t>5710</t>
  </si>
  <si>
    <t>Paneelikattojen alaslaskurungot ALIURAKKANA</t>
  </si>
  <si>
    <t>Saunojen sisäverhouspanelointi ALIURAKKANA, Sävytetty kuusipaneeli + sis.SAUNASUOJA</t>
  </si>
  <si>
    <t>Saunan AL-paperi + Koolaukset ALIURAKKANA</t>
  </si>
  <si>
    <t>5730</t>
  </si>
  <si>
    <t>Alaslaskettu katto, Paneeloitu</t>
  </si>
  <si>
    <t>Alaslaskun tarkastusluukut ( asennus paneelikattoon )</t>
  </si>
  <si>
    <t>Sisäverhouspanelointi ALIURAKKANA, Mäntypaneeli valkolakattu</t>
  </si>
  <si>
    <t>Sisäverhouspanelointi ALIURAKKANA, Sävytetty kuusipaneeli + sis.SAUNASUOJA</t>
  </si>
  <si>
    <t>Paneeloidun katon varjolistoitus</t>
  </si>
  <si>
    <t>5800</t>
  </si>
  <si>
    <t>Tasoite- ja maalausurakka kokonaisurakka-arvio</t>
  </si>
  <si>
    <t>M-Pielielementtien ulkopuoliset maalaukset</t>
  </si>
  <si>
    <t>6110</t>
  </si>
  <si>
    <t xml:space="preserve">Kokonaisurakkatarjous asennettuna </t>
  </si>
  <si>
    <t>Kalusteiden haalaukset asuntoihin</t>
  </si>
  <si>
    <t>6120</t>
  </si>
  <si>
    <t>PSH-Valaisinpeilikaappi</t>
  </si>
  <si>
    <t>PSH-Allaskalustesetti</t>
  </si>
  <si>
    <t>PSH-Pyykkikaappi, POLARIA PYK 400/S5300</t>
  </si>
  <si>
    <t>INVA WC + PUKUHUONE- Varustus, Valaisinpeili ja allaskaluste, Penkki naulakko</t>
  </si>
  <si>
    <t>6200</t>
  </si>
  <si>
    <t>PSH ja WC -Perus varustesetti</t>
  </si>
  <si>
    <t>PSH-Suihkuseinät INR</t>
  </si>
  <si>
    <t>PSH-Suihkun verhotanko kattoon</t>
  </si>
  <si>
    <t>Parvekkeen oskarinoksa</t>
  </si>
  <si>
    <t>Verholauta + kiskot kovamuovinen järjestelmä</t>
  </si>
  <si>
    <t>Sisäänkäynnin talovarusteet</t>
  </si>
  <si>
    <t>Sisäpuoliset PP-Telineet, 84kpl kattotelineitä</t>
  </si>
  <si>
    <t>LMJKH-varusteet</t>
  </si>
  <si>
    <t>Kuivaushuoneen-varusteet</t>
  </si>
  <si>
    <t>6250</t>
  </si>
  <si>
    <t>Saunan Varusteet + Kiuas</t>
  </si>
  <si>
    <t>Yleisen SAUNAN Varusteet + Kiuas</t>
  </si>
  <si>
    <t>6300</t>
  </si>
  <si>
    <t>Kodinkoneiden asennus</t>
  </si>
  <si>
    <t>Kodinkoneet</t>
  </si>
  <si>
    <t>6700</t>
  </si>
  <si>
    <t>VSS-Valuosat ja Varusteet ~75m2, TEMET</t>
  </si>
  <si>
    <t>7100</t>
  </si>
  <si>
    <t>LVIA-URAKKA</t>
  </si>
  <si>
    <t>7300</t>
  </si>
  <si>
    <t>SÄHKÖ-URAKKA</t>
  </si>
  <si>
    <t>7500</t>
  </si>
  <si>
    <t xml:space="preserve">Asuinkerrostalon Hissi </t>
  </si>
  <si>
    <t>7850</t>
  </si>
  <si>
    <t>Palokatkot työmaalla</t>
  </si>
  <si>
    <t>brm2</t>
  </si>
  <si>
    <t>7900</t>
  </si>
  <si>
    <t>LVIS-APUTYÖT</t>
  </si>
  <si>
    <t>8110</t>
  </si>
  <si>
    <t>Työmaarakennusten vuokra</t>
  </si>
  <si>
    <t>Työmaarakennusten kuljetus, pystytys ja purku</t>
  </si>
  <si>
    <t>8140</t>
  </si>
  <si>
    <t>Katualueiden vuokrat</t>
  </si>
  <si>
    <t>vrk</t>
  </si>
  <si>
    <t>8150</t>
  </si>
  <si>
    <t>Työmaan aitaus</t>
  </si>
  <si>
    <t>Työmaan Mainoskilvet</t>
  </si>
  <si>
    <t>Työmaatiet, Varastoalueet ja liikennejärjestelyt</t>
  </si>
  <si>
    <t>8160</t>
  </si>
  <si>
    <t>Rakennustyön aikaiset suojaukset</t>
  </si>
  <si>
    <t>8170</t>
  </si>
  <si>
    <t>Työturvallisuus</t>
  </si>
  <si>
    <t>Rungon urakkamaksut, Työturvallisuus, kem2</t>
  </si>
  <si>
    <t>8180</t>
  </si>
  <si>
    <t>Sisäpuoliset telineet</t>
  </si>
  <si>
    <t>Mastolavat</t>
  </si>
  <si>
    <t>8200</t>
  </si>
  <si>
    <t>Väliaikaiset LVI-työt</t>
  </si>
  <si>
    <t>Väliaikaiset sähkötyöt</t>
  </si>
  <si>
    <t>Työmaakeskukset ja -valaisimet</t>
  </si>
  <si>
    <t>8320</t>
  </si>
  <si>
    <t>Autonosturi esim. Liebherr</t>
  </si>
  <si>
    <t>Autonosturi esim. Liebherr, Tuonti ja vienti</t>
  </si>
  <si>
    <t>krt</t>
  </si>
  <si>
    <t>Autonosturi esim. Liebherr, Työmaasiirto</t>
  </si>
  <si>
    <t>8330</t>
  </si>
  <si>
    <t>Torninosturi MD 285</t>
  </si>
  <si>
    <t>8340</t>
  </si>
  <si>
    <t>Henkilö- ja Tavarahissi</t>
  </si>
  <si>
    <t>8350</t>
  </si>
  <si>
    <t>Kurottajat</t>
  </si>
  <si>
    <t>Kuukulkijat</t>
  </si>
  <si>
    <t>Saxilavat</t>
  </si>
  <si>
    <t>Muut siirtokoneet, vaakasiirrot</t>
  </si>
  <si>
    <t>8400</t>
  </si>
  <si>
    <t>Työkoneet, työkalut ja välineet</t>
  </si>
  <si>
    <t>Vuokrakoneet vuokraamosta</t>
  </si>
  <si>
    <t>8500</t>
  </si>
  <si>
    <t>Työmaan käyttötarvikkeet</t>
  </si>
  <si>
    <t>8610</t>
  </si>
  <si>
    <t>Työmaan sähkö</t>
  </si>
  <si>
    <t>kWh</t>
  </si>
  <si>
    <t>8620</t>
  </si>
  <si>
    <t>Työmaan vesi</t>
  </si>
  <si>
    <t>8630</t>
  </si>
  <si>
    <t>Työmaa-aikainen kuivatus/lämmitys, KL-vaihdin, puhaltimet...</t>
  </si>
  <si>
    <t>8640</t>
  </si>
  <si>
    <t>Työmaan Kaukolämpö</t>
  </si>
  <si>
    <t>MWh</t>
  </si>
  <si>
    <t>8700</t>
  </si>
  <si>
    <t>Työmaan jätemaksut</t>
  </si>
  <si>
    <t>tn</t>
  </si>
  <si>
    <t>Työmaan jätepuristin</t>
  </si>
  <si>
    <t>Työmaan Jätelavavuokrat</t>
  </si>
  <si>
    <t>Työmaan Kuorma-autokuljetukset</t>
  </si>
  <si>
    <t>Työmaan Pakettiautokuljetukset</t>
  </si>
  <si>
    <t>9110</t>
  </si>
  <si>
    <t>Työnjohdon palkat KÖNTTÄNÄ</t>
  </si>
  <si>
    <t>9120</t>
  </si>
  <si>
    <t>Huoltokirja-aineisto</t>
  </si>
  <si>
    <t>Huoltokirjan paperiversio</t>
  </si>
  <si>
    <t>Työmaatoimiston ylläpito</t>
  </si>
  <si>
    <t>Työmaan kopiosarjat</t>
  </si>
  <si>
    <t>Työmaan Laaduntarkkailujärjestelmä</t>
  </si>
  <si>
    <t>9200</t>
  </si>
  <si>
    <t>Viimeistelytyöt</t>
  </si>
  <si>
    <t>9210</t>
  </si>
  <si>
    <t>Työmaa-aikaiset Mittaukset</t>
  </si>
  <si>
    <t>Työmaa-aikaiset kokeet ja katselmukset</t>
  </si>
  <si>
    <t>9230</t>
  </si>
  <si>
    <t>Työmaa-aikainen vartiointi</t>
  </si>
  <si>
    <t>9240</t>
  </si>
  <si>
    <t>Työmaatilojen hoito/siivous</t>
  </si>
  <si>
    <t>Työmaa-aikainen Siivous ja raivaus</t>
  </si>
  <si>
    <t>9250</t>
  </si>
  <si>
    <t>Loppusiivous</t>
  </si>
  <si>
    <t>9400</t>
  </si>
  <si>
    <t>Talvilisätyöt</t>
  </si>
  <si>
    <t>Talvilisätyöt, Rungon urakkamaksut</t>
  </si>
  <si>
    <t>kem2</t>
  </si>
  <si>
    <t>9700</t>
  </si>
  <si>
    <t>Työntekijöiden Matkakulut ja majoituskulut</t>
  </si>
  <si>
    <t>9750</t>
  </si>
  <si>
    <t>Työntekijöiden sosiaalikulut/työvaatetus</t>
  </si>
  <si>
    <t>Litterakoodi</t>
  </si>
  <si>
    <t>Tavo</t>
  </si>
  <si>
    <t>Ennuste</t>
  </si>
  <si>
    <t>Yksikkö</t>
  </si>
  <si>
    <t>Työ €/yks.</t>
  </si>
  <si>
    <t>Työ €</t>
  </si>
  <si>
    <t>Aine €/yks.</t>
  </si>
  <si>
    <t>Aine €</t>
  </si>
  <si>
    <t>Alih €/yks.</t>
  </si>
  <si>
    <t>Alih €</t>
  </si>
  <si>
    <t>Muu €/yks.</t>
  </si>
  <si>
    <t>Muu €</t>
  </si>
  <si>
    <t>Muistio</t>
  </si>
  <si>
    <t>Muistio
hankinnalle</t>
  </si>
  <si>
    <t>Muistio
Laskentaan</t>
  </si>
  <si>
    <t>Taloudellinen 
valmiusaste</t>
  </si>
  <si>
    <t>Tekninen 
valmiusaste</t>
  </si>
  <si>
    <t>Painotettu tekninen
Summa</t>
  </si>
  <si>
    <t>Toteutuneet
Kustannukset</t>
  </si>
  <si>
    <t>Vuokrakalusto
€/yks</t>
  </si>
  <si>
    <t>Vuokrakalusto
€</t>
  </si>
  <si>
    <t>Pääryhmät</t>
  </si>
  <si>
    <t>Toteutunut kustannus</t>
  </si>
  <si>
    <t>KPI</t>
  </si>
  <si>
    <t>Koodi</t>
  </si>
  <si>
    <t>Nimi</t>
  </si>
  <si>
    <t>Tavoitekustannus</t>
  </si>
  <si>
    <t>Sidottu kustannus</t>
  </si>
  <si>
    <t>Toteutunut kustannus (sis. hyväksymätt.)</t>
  </si>
  <si>
    <t>Ennustettu kustannus</t>
  </si>
  <si>
    <t>Tav.kust. - Enn.kust.</t>
  </si>
  <si>
    <t>Tav.kust. - Tot.kust.</t>
  </si>
  <si>
    <t>Enn.kust. - Tot.kust.</t>
  </si>
  <si>
    <t>Kust.valm.aste-%</t>
  </si>
  <si>
    <t>Tavoitetuotto</t>
  </si>
  <si>
    <t>Toteutunut tuotto</t>
  </si>
  <si>
    <t>Ennustettu tuotto</t>
  </si>
  <si>
    <t>Tontin tai osakekannan hankinta/vuokra</t>
  </si>
  <si>
    <t>ARK-suunnittelu</t>
  </si>
  <si>
    <t>RAK-suunnittelu</t>
  </si>
  <si>
    <t>LVI-suunnittelu</t>
  </si>
  <si>
    <t>Sähkösuunnittelu</t>
  </si>
  <si>
    <t>Pohjarakennussuunnittelu</t>
  </si>
  <si>
    <t>Energiatehokkuus</t>
  </si>
  <si>
    <t>Rakennuslupa- ja tarkastusmaksut</t>
  </si>
  <si>
    <t>0900</t>
  </si>
  <si>
    <t>Riskivaraus</t>
  </si>
  <si>
    <t>Purkukustannukset</t>
  </si>
  <si>
    <t>Maankaivu</t>
  </si>
  <si>
    <t>Ponttaus</t>
  </si>
  <si>
    <t>Salaojat, putkijohdot, kaivot ja viemäri</t>
  </si>
  <si>
    <t>Asfaltointi</t>
  </si>
  <si>
    <t>Vihertyöt</t>
  </si>
  <si>
    <t>Ulkovarusteet</t>
  </si>
  <si>
    <t>Perustusten vedeneristys</t>
  </si>
  <si>
    <t>Anturat ja perusmuurit</t>
  </si>
  <si>
    <t>Sokkelielementit / sokkelikuorielementit</t>
  </si>
  <si>
    <t>VSS-rakenteet</t>
  </si>
  <si>
    <t>Maanvaraiset alapohjat</t>
  </si>
  <si>
    <t>Sisäänkäyntitasot ja -katokset</t>
  </si>
  <si>
    <t>Rungon teräsosat</t>
  </si>
  <si>
    <t>Väliseinäelementit</t>
  </si>
  <si>
    <t>Ontelo-, Massiivi- ja tulppalaatat</t>
  </si>
  <si>
    <t>Kuorielementit (SK,RK)</t>
  </si>
  <si>
    <t>Hissikuiluelementit(seinä ja kuppilaat.)</t>
  </si>
  <si>
    <t>Porraselementit</t>
  </si>
  <si>
    <t>Luhtikäyt.-,parveke-, parvekkeiden pielielementit</t>
  </si>
  <si>
    <t>3220</t>
  </si>
  <si>
    <t>Seinien raudoitukset</t>
  </si>
  <si>
    <t>3300</t>
  </si>
  <si>
    <t>Paikallavaluholvit</t>
  </si>
  <si>
    <t>Betonipintojen etupaikkaus</t>
  </si>
  <si>
    <t>3400</t>
  </si>
  <si>
    <t>Portaat</t>
  </si>
  <si>
    <t>Ulkoseinät</t>
  </si>
  <si>
    <t>Ulkoseinät elementteinä, puu</t>
  </si>
  <si>
    <t>Kattotasot ja parvekkeet</t>
  </si>
  <si>
    <t>Ullakko- ja kattorakenteet</t>
  </si>
  <si>
    <t>Puhallusvilla</t>
  </si>
  <si>
    <t>Puu- ja muovi-ikkunat, parvekeovet</t>
  </si>
  <si>
    <t>Erityisikkunat, sp-luukut</t>
  </si>
  <si>
    <t>Puuovet</t>
  </si>
  <si>
    <t>Metalliovet, -ikkunat ja lasiseinät</t>
  </si>
  <si>
    <t>Lukitukset ja heloitukset</t>
  </si>
  <si>
    <t>Kipsiväliseinät</t>
  </si>
  <si>
    <t>Kipsialakatot</t>
  </si>
  <si>
    <t>Kipsihormit</t>
  </si>
  <si>
    <t>Muuratut väliseinät</t>
  </si>
  <si>
    <t>Irtaimistokopit ja erityisväliseinät</t>
  </si>
  <si>
    <t>Kaiteet ja parvekelasitukset</t>
  </si>
  <si>
    <t>Vesikattovarusteet, tikkaat yms.</t>
  </si>
  <si>
    <t>Bitumikatteet</t>
  </si>
  <si>
    <t>Märkätilojen laatoitukset</t>
  </si>
  <si>
    <t>Yleisten tilojen laatoitukset</t>
  </si>
  <si>
    <t>Puulistoitukset</t>
  </si>
  <si>
    <t>Akustoivat alakatot</t>
  </si>
  <si>
    <t>Julkisivun pellitykset ja metalliverhoukset</t>
  </si>
  <si>
    <t>Julkisivumuuraus</t>
  </si>
  <si>
    <t>Julkisivurappaus</t>
  </si>
  <si>
    <t>Julkisivun puu- ja levyverhoukset</t>
  </si>
  <si>
    <t>Elastiset saumaukset</t>
  </si>
  <si>
    <t>Pintabetonilattiat</t>
  </si>
  <si>
    <t>Tasoitelattiat (pumpputasoite)</t>
  </si>
  <si>
    <t>Parketti ja laminaatti</t>
  </si>
  <si>
    <t>Mattolattiat pohjatöineen</t>
  </si>
  <si>
    <t>Saunat</t>
  </si>
  <si>
    <t>Puualakatot</t>
  </si>
  <si>
    <t>Maalaus- ja tasoitetyöt</t>
  </si>
  <si>
    <t>Huoneistojen kalusteet</t>
  </si>
  <si>
    <t>Märkätilojen kalusteet</t>
  </si>
  <si>
    <t>Varusteet</t>
  </si>
  <si>
    <t>Saunojen tarvikkeet</t>
  </si>
  <si>
    <t>Laitteet ja kodinkoneet</t>
  </si>
  <si>
    <t>Väestönsuojan varusteet</t>
  </si>
  <si>
    <t>LÄMPÖ, VESI JA VIEMÄRI</t>
  </si>
  <si>
    <t>SÄHKÖ</t>
  </si>
  <si>
    <t>Siirtolaitteet, hissit</t>
  </si>
  <si>
    <t>Palokatkot</t>
  </si>
  <si>
    <t>LVIS-aputyöt</t>
  </si>
  <si>
    <t>Työmaarakennukset</t>
  </si>
  <si>
    <t>Katualueen vuokrat</t>
  </si>
  <si>
    <t>Työmaa-alue , aitaukset ja mainoskilvet</t>
  </si>
  <si>
    <t>Rakennussuojaus</t>
  </si>
  <si>
    <t>Telineet ja julkisivunostimet</t>
  </si>
  <si>
    <t>Työaikaiset rakenteet  LVIS</t>
  </si>
  <si>
    <t>Ajoneuvonosturit</t>
  </si>
  <si>
    <t>Torninosturit, ristikkopuominosturit</t>
  </si>
  <si>
    <t>Rakennushissit</t>
  </si>
  <si>
    <t>Muut siirtokoneet, henkilönostimet</t>
  </si>
  <si>
    <t>Työkalut ja -välineet</t>
  </si>
  <si>
    <t>Sähkölaskut</t>
  </si>
  <si>
    <t>Vesilaskut</t>
  </si>
  <si>
    <t>Rakennusaikainen kuivatus/lämmitys</t>
  </si>
  <si>
    <t>Kaukolämpömaksut</t>
  </si>
  <si>
    <t>Työmaan jätemaksut ja kuljetukset</t>
  </si>
  <si>
    <t>Työjohdon palkat &amp; kustannusten korvaukset</t>
  </si>
  <si>
    <t>Kopiot, IT-, AV-, tstotarvike, Huoltokirja</t>
  </si>
  <si>
    <t>Mittaukset ja kokeet</t>
  </si>
  <si>
    <t>Työmaan vartiointi</t>
  </si>
  <si>
    <t>Siivous ja raivaus</t>
  </si>
  <si>
    <t>Työntekijöiden palkanlisät</t>
  </si>
  <si>
    <t>Työntekijöiden työvaatetus</t>
  </si>
  <si>
    <t>9800</t>
  </si>
  <si>
    <t>Sosiaalikulut</t>
  </si>
  <si>
    <t>Oman käytön ALV</t>
  </si>
  <si>
    <t>L</t>
  </si>
  <si>
    <t>Litteroimaton</t>
  </si>
  <si>
    <t>LSOS</t>
  </si>
  <si>
    <t>Sosiaalikulut oikaisu</t>
  </si>
  <si>
    <t>Valitse littera (alasvetovalikosta):</t>
  </si>
  <si>
    <t>ENNUSTEPANEELI</t>
  </si>
  <si>
    <t>KUSTANNUSLAJIT</t>
  </si>
  <si>
    <t>Työn kustannus</t>
  </si>
  <si>
    <t>Aineen kustannus</t>
  </si>
  <si>
    <t>Alihankinnan kustannus</t>
  </si>
  <si>
    <t>Vuokrakaluston kustannus</t>
  </si>
  <si>
    <t>Muu kustannus</t>
  </si>
  <si>
    <t>Edellinen ennuste</t>
  </si>
  <si>
    <t>Uusi ennuste</t>
  </si>
  <si>
    <t>Pvm</t>
  </si>
  <si>
    <t>Littera</t>
  </si>
  <si>
    <t>Kustannuslaji</t>
  </si>
  <si>
    <t>MuistioD</t>
  </si>
  <si>
    <t>MuistioE</t>
  </si>
  <si>
    <t>MuistioF</t>
  </si>
  <si>
    <t>UusiEnnuste</t>
  </si>
  <si>
    <t>Valmiusaste</t>
  </si>
  <si>
    <t>Tekninen valmiusaste</t>
  </si>
  <si>
    <t>Taloudellinen valmiusaste</t>
  </si>
  <si>
    <t>Tavoitekustannus:</t>
  </si>
  <si>
    <t>Toteutunut:</t>
  </si>
  <si>
    <t>Edellinen ennuste:</t>
  </si>
  <si>
    <t>Tal. valmius:</t>
  </si>
  <si>
    <t>Tekn. valmius:</t>
  </si>
  <si>
    <t>KPI:</t>
  </si>
  <si>
    <t>Muistio Hankinta</t>
  </si>
  <si>
    <t>Muistio Laskenta</t>
  </si>
  <si>
    <t>Ennuste pvä/klo:</t>
  </si>
  <si>
    <t>Laskenta-alue</t>
  </si>
  <si>
    <t>DataMuistio</t>
  </si>
  <si>
    <t>Laskenta</t>
  </si>
  <si>
    <t>Projekti-organisaatio</t>
  </si>
  <si>
    <t>© 2025 [PEKKA KIVIAHDE] – Kaikki oikeudet pidätetään.</t>
  </si>
  <si>
    <t>Tavoite</t>
  </si>
  <si>
    <t>Toteutunut</t>
  </si>
  <si>
    <t>Ansaittu €</t>
  </si>
  <si>
    <t>OMAN KÄYTÖN ALV</t>
  </si>
  <si>
    <t>0 - pääryhmä</t>
  </si>
  <si>
    <t>1 - pääryhmä</t>
  </si>
  <si>
    <t>2 - pääryhmä</t>
  </si>
  <si>
    <t>3 - pääryhmä</t>
  </si>
  <si>
    <t>4 - pääryhmä</t>
  </si>
  <si>
    <t>5 - pääryhmä</t>
  </si>
  <si>
    <t>6 - pääryhmä</t>
  </si>
  <si>
    <t>7 - pääryhmä</t>
  </si>
  <si>
    <t>8 - pääryhmä</t>
  </si>
  <si>
    <t>9 - pääryhmä</t>
  </si>
  <si>
    <t>Oman käytön kustannukset:</t>
  </si>
  <si>
    <t>Oman käytön prosentti:</t>
  </si>
  <si>
    <t>Oman käytön ALV €:</t>
  </si>
  <si>
    <t>Kustannukset + ALV:</t>
  </si>
  <si>
    <t>Tav.-Enn.</t>
  </si>
  <si>
    <t>Tav-Enn (%)</t>
  </si>
  <si>
    <t>Valmiit Ennustukset</t>
  </si>
  <si>
    <t>Valmiit Ennustukset (%)</t>
  </si>
  <si>
    <t>Valmiusaste (Tal.)</t>
  </si>
  <si>
    <t>Valmiusaste (Tekn.)</t>
  </si>
  <si>
    <t>YHTEENSÄ</t>
  </si>
  <si>
    <t>JYVITYKSET</t>
  </si>
  <si>
    <t>Versio 1.9</t>
  </si>
  <si>
    <t>[LASKENTA]</t>
  </si>
  <si>
    <t>[DATA-MUISTIO]</t>
  </si>
  <si>
    <t>Purkupihan kokonaisurakka</t>
  </si>
  <si>
    <t>24.4.2025 Sisätäutön hiekat ja murskeet puuttuu</t>
  </si>
  <si>
    <t>24.4.2025 Puuttuu kahden viikon tunnit</t>
  </si>
  <si>
    <t>Puuttuu</t>
  </si>
  <si>
    <t>Ennustetta nostettu + 13487,91</t>
  </si>
  <si>
    <t>Ennustenosto</t>
  </si>
  <si>
    <t>Pontin katkaisusta ei tullut laskua, koska romun hinta kattaa katkaisun kustannukset</t>
  </si>
  <si>
    <t>Meltexin tarjouksen mukaan</t>
  </si>
  <si>
    <t>Meltexin tarjous</t>
  </si>
  <si>
    <t>Meltexin laskut</t>
  </si>
  <si>
    <t>Puuttuvat pumppukaivot</t>
  </si>
  <si>
    <t>PVPK</t>
  </si>
  <si>
    <t>Nämä on Varikon kaivoja</t>
  </si>
  <si>
    <t>JVPK</t>
  </si>
  <si>
    <t>Nämä on  Varikon kaivoja</t>
  </si>
  <si>
    <t>24.4.2025. Jarkimolla laskennassa laajemmalta alueesta</t>
  </si>
  <si>
    <t>Ylitys</t>
  </si>
  <si>
    <t>Pohjarahavaraus</t>
  </si>
  <si>
    <t>Yhteensä</t>
  </si>
  <si>
    <t>Litteroitu aluksi Matiaksen elementtiprosenttiosuuksien mukaan</t>
  </si>
  <si>
    <t>24.4.2025 Elementit litteroitu 3400 litteralle</t>
  </si>
  <si>
    <t>24..4.2025</t>
  </si>
  <si>
    <t xml:space="preserve">Hankintasäästöä </t>
  </si>
  <si>
    <t>Hankinta 8500 €</t>
  </si>
  <si>
    <t>Ekovilla sopimuksen mukaan</t>
  </si>
  <si>
    <t>24.4.205</t>
  </si>
  <si>
    <t xml:space="preserve">Ekovilla sopimuksen mukaan </t>
  </si>
  <si>
    <t>Lisätään risivaroihin erotus</t>
  </si>
  <si>
    <t>24.4.2025 Hankinta tehty</t>
  </si>
  <si>
    <t>Väliseinäurakka</t>
  </si>
  <si>
    <t>€/m2</t>
  </si>
  <si>
    <t>Aholan hinta 18€/m2, laskettu n. 20€/m2</t>
  </si>
  <si>
    <t>Urakka sovittu Aholan kanssa</t>
  </si>
  <si>
    <t>Hankinta tehty</t>
  </si>
  <si>
    <t>Otsapintojen teko puuttuu laskelmista</t>
  </si>
  <si>
    <t>Otsapinnat</t>
  </si>
  <si>
    <t>Valokuilu</t>
  </si>
  <si>
    <t>Puuttuuko nämä tavosta</t>
  </si>
  <si>
    <t>Portaiden kohdat</t>
  </si>
  <si>
    <t>Käytävän katot</t>
  </si>
  <si>
    <t>Ikkunasmyygit tehdään pellittämällä rappauksen sijasta</t>
  </si>
  <si>
    <t>Laskettu keskihinnalla 71,4 €/m²</t>
  </si>
  <si>
    <t>Urakka on sovittu Kaukomaalauksen kanssa.</t>
  </si>
  <si>
    <t>24.4.2025 Levyt tilattu, ei vielä tilausvahvaria</t>
  </si>
  <si>
    <t>24.4.2025. Tehdään papubetonilla eristys</t>
  </si>
  <si>
    <t>VSS päällinen</t>
  </si>
  <si>
    <t>Kylpyhuoneet</t>
  </si>
  <si>
    <t>Aholan kanssa sovittu urakka,</t>
  </si>
  <si>
    <t>Urakka sovittu Kaukomaalauksen kanssa</t>
  </si>
  <si>
    <t>Polarian peltikaapit.</t>
  </si>
  <si>
    <t>Pidetään varalla.</t>
  </si>
  <si>
    <t>Yleensä jää rahaa, kun puustellinkalusteita ei ole tarvinnut suojata eikä parkettia</t>
  </si>
  <si>
    <t>Jouduttu käyttämään väliaikaista agrikaattia</t>
  </si>
  <si>
    <t>Puuttuu puuelementtien nostotyö</t>
  </si>
  <si>
    <t>Puuelementtien nostoihin menee 2pn/krs</t>
  </si>
  <si>
    <t>Ulkoseininen asennus</t>
  </si>
  <si>
    <t xml:space="preserve">Utriainen </t>
  </si>
  <si>
    <t>110 €/h</t>
  </si>
  <si>
    <t>Tänne litteroitu väliaikaisen generaattorin polttoaineet</t>
  </si>
  <si>
    <t>Tänne litteroitu Varikon kaukolämpölaskut</t>
  </si>
  <si>
    <t>Tänne litteroidaan kaikki lisät. Noin 500€/kk</t>
  </si>
  <si>
    <t>Tälle työmaalle ei tarvitse ostaa talvivaatteita työntekijöille</t>
  </si>
  <si>
    <t>Tee tässä alueessa varmistuslaskelmia.</t>
  </si>
  <si>
    <t>Testi 1</t>
  </si>
  <si>
    <t>fds</t>
  </si>
  <si>
    <t>fd</t>
  </si>
  <si>
    <t>jg</t>
  </si>
  <si>
    <t>gj</t>
  </si>
  <si>
    <t>sdfsadfda</t>
  </si>
  <si>
    <t>fsadfsad_x000D_
sadfasdf_x000D_
asdfa</t>
  </si>
  <si>
    <t>dsfasdfa</t>
  </si>
  <si>
    <t>fsadfdsafsad_x000D_
fdsafadsfdsafadsf_x000D_
afsdfsdfa</t>
  </si>
  <si>
    <t>Työ</t>
  </si>
  <si>
    <t>Aine</t>
  </si>
  <si>
    <t>Alihank.</t>
  </si>
  <si>
    <t>Vuokrakal.</t>
  </si>
  <si>
    <t>Muu</t>
  </si>
  <si>
    <t>Rivikohtaiset muistiot</t>
  </si>
  <si>
    <t>KOy Kaarnatien kaarna (2016)</t>
  </si>
  <si>
    <t>15.06.2025 (Viikko 25)</t>
  </si>
  <si>
    <t>Selite            Littera  (2200)</t>
  </si>
  <si>
    <t>24.04.2025 | 10.09</t>
  </si>
  <si>
    <t>2200 – Anturat ja perusmuurit</t>
  </si>
  <si>
    <t>Päivitetty: 15.06.2025 10.12</t>
  </si>
  <si>
    <t xml:space="preserve">Työpäällikkö:         </t>
  </si>
  <si>
    <t>Vastaava mestari:     Jorma</t>
  </si>
  <si>
    <t>Työnjohtaja:          Miika</t>
  </si>
  <si>
    <t>Hankintapäällikkö:    Lauri</t>
  </si>
  <si>
    <t>Suunnittelupäällikkö: Sami</t>
  </si>
  <si>
    <t>Laskentapäällikkö:    Matias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</si>
</sst>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#,##0.0"/>
    <numFmt numFmtId="165" formatCode="#,##0.00\ %"/>
    <numFmt numFmtId="166" formatCode="#,##0.00\ \€"/>
    <numFmt numFmtId="167" formatCode="dd\.mm\.yyyy\ hh:mm:ss"/>
    <numFmt numFmtId="168" formatCode="#,##0\ \€"/>
    <numFmt numFmtId="169" formatCode="#,##0.0\ \€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8000"/>
      <name val="Calibri"/>
      <family val="2"/>
      <scheme val="minor"/>
    </font>
    <font>
      <b/>
      <sz val="13"/>
      <color rgb="FF00468C"/>
      <name val="Segoe UI"/>
      <family val="2"/>
    </font>
    <font>
      <sz val="11"/>
      <color rgb="FF00468C"/>
      <name val="Calibri"/>
      <family val="2"/>
      <scheme val="minor"/>
    </font>
    <font>
      <b/>
      <sz val="12"/>
      <color rgb="FF00468C"/>
      <name val="Segoe UI"/>
      <family val="2"/>
    </font>
    <font>
      <i/>
      <sz val="11"/>
      <color theme="1"/>
      <name val="Calibri"/>
      <family val="2"/>
      <scheme val="minor"/>
    </font>
    <font>
      <sz val="9"/>
      <color theme="1"/>
      <name val="Segoe UI"/>
      <family val="2"/>
    </font>
    <font>
      <sz val="9"/>
      <color rgb="FF505050"/>
      <name val="Segoe UI"/>
      <family val="2"/>
    </font>
    <font>
      <b/>
      <sz val="9"/>
      <color rgb="FF505050"/>
      <name val="Segoe UI"/>
      <family val="2"/>
    </font>
    <font>
      <sz val="8"/>
      <name val="Calibri"/>
      <family val="2"/>
      <scheme val="minor"/>
    </font>
    <font>
      <sz val="11"/>
      <color rgb="FF505050"/>
      <name val="Segoe UI"/>
      <family val="2"/>
    </font>
    <font>
      <sz val="9"/>
      <name val="Calibri"/>
      <family val="2"/>
      <scheme val="minor"/>
    </font>
    <font>
      <sz val="9"/>
      <color rgb="FFD3D3D3"/>
      <name val="Segoe UI"/>
      <family val="2"/>
    </font>
    <font>
      <i/>
      <sz val="9"/>
      <color rgb="FF00468C"/>
      <name val="Calibri"/>
      <family val="2"/>
      <scheme val="minor"/>
    </font>
    <font>
      <b/>
      <sz val="12"/>
      <color rgb="FF505050"/>
      <name val="Segoe UI"/>
      <family val="2"/>
    </font>
    <font>
      <b/>
      <sz val="18"/>
      <color rgb="FFFFFFFF"/>
      <name val="Segoe UI"/>
      <family val="2"/>
    </font>
    <font>
      <b/>
      <sz val="13"/>
      <color rgb="FFFFFFFF"/>
      <name val="Segoe UI"/>
      <family val="2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  <font>
      <sz val="12"/>
      <color rgb="FF505050"/>
      <name val="Segoe UI"/>
      <family val="2"/>
    </font>
    <font>
      <sz val="12"/>
      <color rgb="FF00468C"/>
      <name val="Segoe UI"/>
      <family val="2"/>
    </font>
    <font>
      <sz val="12"/>
      <color rgb="FF000000"/>
      <name val="Segoe UI"/>
      <family val="2"/>
    </font>
    <font>
      <sz val="12"/>
      <color rgb="FF80808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E6F0FF"/>
        <bgColor indexed="64"/>
      </patternFill>
    </fill>
    <fill>
      <patternFill patternType="solid">
        <fgColor rgb="FFEBF5FF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468C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DCDCDC"/>
      </left>
      <right style="thin">
        <color rgb="FFDCDCDC"/>
      </right>
      <top style="thin">
        <color rgb="FFDCDCDC"/>
      </top>
      <bottom style="thin">
        <color rgb="FFDCDCDC"/>
      </bottom>
      <diagonal/>
    </border>
    <border>
      <left/>
      <right/>
      <top/>
      <bottom style="thin">
        <color rgb="FFDCDCDC"/>
      </bottom>
      <diagonal/>
    </border>
    <border>
      <left/>
      <right/>
      <top style="thin">
        <color rgb="FFDCDCDC"/>
      </top>
      <bottom style="thin">
        <color rgb="FFDCDCDC"/>
      </bottom>
      <diagonal/>
    </border>
    <border>
      <left/>
      <right/>
      <top style="thin">
        <color rgb="FFDCDCDC"/>
      </top>
      <bottom/>
      <diagonal/>
    </border>
    <border>
      <left style="thin">
        <color rgb="FFDCDCDC"/>
      </left>
      <right/>
      <top style="thin">
        <color rgb="FFDCDCDC"/>
      </top>
      <bottom style="thin">
        <color rgb="FFDCDCDC"/>
      </bottom>
      <diagonal/>
    </border>
    <border>
      <left/>
      <right style="thin">
        <color rgb="FFDCDCDC"/>
      </right>
      <top style="thin">
        <color rgb="FFDCDCDC"/>
      </top>
      <bottom style="thin">
        <color rgb="FFDCDCDC"/>
      </bottom>
      <diagonal/>
    </border>
    <border>
      <left style="thin">
        <color rgb="FFB4B4FF"/>
      </left>
      <right style="thin">
        <color rgb="FFB4B4FF"/>
      </right>
      <top style="thin">
        <color rgb="FFB4B4FF"/>
      </top>
      <bottom style="thin">
        <color rgb="FFB4B4FF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1">
    <xf numFmtId="0" fontId="0" fillId="0" borderId="0" xfId="0"/>
    <xf numFmtId="0" fontId="0" fillId="0" borderId="2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4" fontId="0" fillId="0" borderId="2" xfId="0" applyNumberFormat="1" applyBorder="1" applyAlignment="1">
      <alignment vertical="center"/>
    </xf>
    <xf numFmtId="165" fontId="0" fillId="0" borderId="2" xfId="0" applyNumberFormat="1" applyBorder="1" applyAlignment="1">
      <alignment vertical="center"/>
    </xf>
    <xf numFmtId="0" fontId="0" fillId="0" borderId="1" xfId="0" applyBorder="1"/>
    <xf numFmtId="164" fontId="0" fillId="0" borderId="1" xfId="0" applyNumberFormat="1" applyBorder="1"/>
    <xf numFmtId="4" fontId="0" fillId="0" borderId="1" xfId="0" applyNumberFormat="1" applyBorder="1"/>
    <xf numFmtId="4" fontId="0" fillId="0" borderId="1" xfId="0" applyNumberFormat="1" applyBorder="1" applyAlignment="1">
      <alignment vertical="center"/>
    </xf>
    <xf numFmtId="10" fontId="0" fillId="0" borderId="1" xfId="2" applyNumberFormat="1" applyFont="1" applyBorder="1"/>
    <xf numFmtId="49" fontId="0" fillId="0" borderId="1" xfId="0" applyNumberFormat="1" applyBorder="1"/>
    <xf numFmtId="0" fontId="2" fillId="5" borderId="3" xfId="0" applyFont="1" applyFill="1" applyBorder="1"/>
    <xf numFmtId="166" fontId="0" fillId="0" borderId="0" xfId="0" applyNumberFormat="1"/>
    <xf numFmtId="166" fontId="2" fillId="5" borderId="3" xfId="0" applyNumberFormat="1" applyFont="1" applyFill="1" applyBorder="1"/>
    <xf numFmtId="10" fontId="2" fillId="5" borderId="3" xfId="0" applyNumberFormat="1" applyFont="1" applyFill="1" applyBorder="1"/>
    <xf numFmtId="2" fontId="2" fillId="5" borderId="3" xfId="0" applyNumberFormat="1" applyFont="1" applyFill="1" applyBorder="1"/>
    <xf numFmtId="2" fontId="0" fillId="0" borderId="0" xfId="0" applyNumberFormat="1"/>
    <xf numFmtId="167" fontId="2" fillId="5" borderId="3" xfId="0" applyNumberFormat="1" applyFont="1" applyFill="1" applyBorder="1"/>
    <xf numFmtId="167" fontId="0" fillId="0" borderId="0" xfId="0" applyNumberFormat="1"/>
    <xf numFmtId="0" fontId="2" fillId="0" borderId="1" xfId="0" applyFont="1" applyBorder="1" applyAlignment="1">
      <alignment vertical="center"/>
    </xf>
    <xf numFmtId="0" fontId="0" fillId="2" borderId="1" xfId="0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3" borderId="1" xfId="0" applyFill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0" borderId="1" xfId="2" applyNumberFormat="1" applyFont="1" applyBorder="1" applyAlignment="1">
      <alignment vertical="center"/>
    </xf>
    <xf numFmtId="0" fontId="2" fillId="0" borderId="1" xfId="1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10" fontId="0" fillId="0" borderId="0" xfId="0" applyNumberFormat="1"/>
    <xf numFmtId="0" fontId="11" fillId="11" borderId="7" xfId="0" applyFont="1" applyFill="1" applyBorder="1"/>
    <xf numFmtId="0" fontId="11" fillId="0" borderId="8" xfId="0" applyFont="1" applyFill="1" applyBorder="1"/>
    <xf numFmtId="0" fontId="11" fillId="11" borderId="8" xfId="0" applyFont="1" applyFill="1" applyBorder="1"/>
    <xf numFmtId="168" fontId="11" fillId="6" borderId="9" xfId="0" applyNumberFormat="1" applyFont="1" applyFill="1" applyBorder="1"/>
    <xf numFmtId="168" fontId="9" fillId="11" borderId="7" xfId="0" applyNumberFormat="1" applyFont="1" applyFill="1" applyBorder="1"/>
    <xf numFmtId="168" fontId="9" fillId="0" borderId="8" xfId="0" applyNumberFormat="1" applyFont="1" applyFill="1" applyBorder="1"/>
    <xf numFmtId="168" fontId="9" fillId="11" borderId="8" xfId="0" applyNumberFormat="1" applyFont="1" applyFill="1" applyBorder="1"/>
    <xf numFmtId="10" fontId="9" fillId="11" borderId="7" xfId="0" applyNumberFormat="1" applyFont="1" applyFill="1" applyBorder="1"/>
    <xf numFmtId="10" fontId="9" fillId="0" borderId="8" xfId="0" applyNumberFormat="1" applyFont="1" applyFill="1" applyBorder="1"/>
    <xf numFmtId="10" fontId="9" fillId="11" borderId="8" xfId="0" applyNumberFormat="1" applyFont="1" applyFill="1" applyBorder="1"/>
    <xf numFmtId="2" fontId="9" fillId="11" borderId="7" xfId="0" applyNumberFormat="1" applyFont="1" applyFill="1" applyBorder="1"/>
    <xf numFmtId="2" fontId="9" fillId="0" borderId="8" xfId="0" applyNumberFormat="1" applyFont="1" applyFill="1" applyBorder="1"/>
    <xf numFmtId="2" fontId="9" fillId="11" borderId="8" xfId="0" applyNumberFormat="1" applyFont="1" applyFill="1" applyBorder="1"/>
    <xf numFmtId="0" fontId="0" fillId="0" borderId="0" xfId="0" quotePrefix="1"/>
    <xf numFmtId="168" fontId="0" fillId="0" borderId="0" xfId="0" applyNumberFormat="1"/>
    <xf numFmtId="0" fontId="11" fillId="6" borderId="9" xfId="0" applyFont="1" applyFill="1" applyBorder="1"/>
    <xf numFmtId="10" fontId="11" fillId="6" borderId="9" xfId="0" applyNumberFormat="1" applyFont="1" applyFill="1" applyBorder="1"/>
    <xf numFmtId="2" fontId="11" fillId="6" borderId="9" xfId="0" applyNumberFormat="1" applyFont="1" applyFill="1" applyBorder="1"/>
    <xf numFmtId="168" fontId="11" fillId="6" borderId="0" xfId="0" applyNumberFormat="1" applyFont="1" applyFill="1"/>
    <xf numFmtId="10" fontId="11" fillId="6" borderId="0" xfId="0" applyNumberFormat="1" applyFont="1" applyFill="1"/>
    <xf numFmtId="2" fontId="11" fillId="6" borderId="0" xfId="0" applyNumberFormat="1" applyFont="1" applyFill="1"/>
    <xf numFmtId="168" fontId="11" fillId="0" borderId="6" xfId="0" applyNumberFormat="1" applyFont="1" applyFill="1" applyBorder="1"/>
    <xf numFmtId="168" fontId="11" fillId="0" borderId="6" xfId="0" applyNumberFormat="1" applyFont="1" applyFill="1" applyBorder="1" applyProtection="1">
      <protection locked="0"/>
    </xf>
    <xf numFmtId="0" fontId="13" fillId="8" borderId="6" xfId="0" applyFont="1" applyFill="1" applyBorder="1" applyProtection="1">
      <protection locked="0"/>
    </xf>
    <xf numFmtId="168" fontId="13" fillId="8" borderId="6" xfId="0" applyNumberFormat="1" applyFont="1" applyFill="1" applyBorder="1" applyProtection="1">
      <protection locked="0"/>
    </xf>
    <xf numFmtId="10" fontId="8" fillId="0" borderId="0" xfId="0" applyNumberFormat="1" applyFont="1"/>
    <xf numFmtId="0" fontId="0" fillId="0" borderId="0" xfId="0" applyProtection="1"/>
    <xf numFmtId="0" fontId="7" fillId="6" borderId="0" xfId="0" applyFont="1" applyFill="1" applyProtection="1"/>
    <xf numFmtId="0" fontId="6" fillId="6" borderId="0" xfId="0" applyFont="1" applyFill="1" applyProtection="1"/>
    <xf numFmtId="0" fontId="14" fillId="0" borderId="2" xfId="0" applyFont="1" applyBorder="1" applyAlignment="1">
      <alignment vertical="center"/>
    </xf>
    <xf numFmtId="4" fontId="14" fillId="0" borderId="2" xfId="0" applyNumberFormat="1" applyFont="1" applyBorder="1" applyAlignment="1">
      <alignment vertical="center"/>
    </xf>
    <xf numFmtId="14" fontId="0" fillId="0" borderId="0" xfId="0" applyNumberFormat="1"/>
    <xf numFmtId="0" fontId="16" fillId="0" borderId="0" xfId="0" applyFont="1" applyProtection="1"/>
    <xf numFmtId="10" fontId="17" fillId="8" borderId="12" xfId="0" applyNumberFormat="1" applyFont="1" applyFill="1" applyBorder="1" applyProtection="1">
      <protection locked="0"/>
    </xf>
    <xf numFmtId="0" fontId="18" fillId="12" borderId="0" xfId="0" applyFont="1" applyFill="1" applyProtection="1"/>
    <xf numFmtId="0" fontId="0" fillId="0" borderId="0" xfId="0" applyAlignment="1">
      <alignment wrapText="1"/>
    </xf>
    <xf numFmtId="0" fontId="0" fillId="0" borderId="0" xfId="0" applyAlignment="1" applyProtection="1">
      <alignment horizontal="left" indent="1"/>
    </xf>
    <xf numFmtId="0" fontId="5" fillId="6" borderId="0" xfId="0" applyFont="1" applyFill="1" applyAlignment="1" applyProtection="1">
      <alignment horizontal="left" indent="1"/>
    </xf>
    <xf numFmtId="0" fontId="20" fillId="0" borderId="0" xfId="0" applyFont="1" applyProtection="1"/>
    <xf numFmtId="0" fontId="20" fillId="0" borderId="0" xfId="0" applyFont="1" applyAlignment="1" applyProtection="1">
      <alignment horizontal="left" indent="1"/>
    </xf>
    <xf numFmtId="0" fontId="21" fillId="0" borderId="0" xfId="0" applyFont="1" applyProtection="1"/>
    <xf numFmtId="0" fontId="17" fillId="0" borderId="0" xfId="0" applyFont="1" applyFill="1" applyBorder="1" applyAlignment="1" applyProtection="1">
      <alignment horizontal="left" indent="1"/>
    </xf>
    <xf numFmtId="166" fontId="22" fillId="7" borderId="4" xfId="0" applyNumberFormat="1" applyFont="1" applyFill="1" applyBorder="1" applyProtection="1"/>
    <xf numFmtId="49" fontId="23" fillId="8" borderId="12" xfId="0" applyNumberFormat="1" applyFont="1" applyFill="1" applyBorder="1" applyProtection="1">
      <protection locked="0"/>
    </xf>
    <xf numFmtId="166" fontId="22" fillId="8" borderId="12" xfId="0" applyNumberFormat="1" applyFont="1" applyFill="1" applyBorder="1" applyProtection="1">
      <protection locked="0"/>
    </xf>
    <xf numFmtId="0" fontId="22" fillId="8" borderId="12" xfId="0" applyFont="1" applyFill="1" applyBorder="1" applyProtection="1">
      <protection locked="0"/>
    </xf>
    <xf numFmtId="0" fontId="7" fillId="6" borderId="0" xfId="0" applyFont="1" applyFill="1" applyBorder="1" applyAlignment="1" applyProtection="1">
      <alignment horizontal="left" indent="1"/>
    </xf>
    <xf numFmtId="0" fontId="17" fillId="0" borderId="0" xfId="0" applyFont="1" applyFill="1" applyBorder="1" applyProtection="1"/>
    <xf numFmtId="166" fontId="13" fillId="7" borderId="4" xfId="0" applyNumberFormat="1" applyFont="1" applyFill="1" applyBorder="1" applyProtection="1"/>
    <xf numFmtId="0" fontId="13" fillId="7" borderId="4" xfId="0" applyFont="1" applyFill="1" applyBorder="1" applyProtection="1"/>
    <xf numFmtId="10" fontId="13" fillId="7" borderId="4" xfId="0" applyNumberFormat="1" applyFont="1" applyFill="1" applyBorder="1" applyProtection="1"/>
    <xf numFmtId="0" fontId="17" fillId="6" borderId="0" xfId="0" applyFont="1" applyFill="1" applyBorder="1" applyProtection="1"/>
    <xf numFmtId="2" fontId="13" fillId="7" borderId="4" xfId="0" applyNumberFormat="1" applyFont="1" applyFill="1" applyBorder="1" applyProtection="1"/>
    <xf numFmtId="166" fontId="7" fillId="9" borderId="5" xfId="0" applyNumberFormat="1" applyFont="1" applyFill="1" applyBorder="1" applyProtection="1"/>
    <xf numFmtId="169" fontId="17" fillId="10" borderId="0" xfId="0" applyNumberFormat="1" applyFont="1" applyFill="1" applyAlignment="1" applyProtection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169" fontId="22" fillId="7" borderId="0" xfId="0" applyNumberFormat="1" applyFont="1" applyFill="1"/>
    <xf numFmtId="169" fontId="22" fillId="7" borderId="0" xfId="0" applyNumberFormat="1" applyFont="1" applyFill="1" applyAlignment="1">
      <alignment horizontal="center" vertical="center"/>
    </xf>
    <xf numFmtId="169" fontId="22" fillId="13" borderId="0" xfId="0" applyNumberFormat="1" applyFont="1" applyFill="1"/>
    <xf numFmtId="169" fontId="22" fillId="13" borderId="0" xfId="0" applyNumberFormat="1" applyFont="1" applyFill="1" applyAlignment="1">
      <alignment horizontal="center" vertical="center"/>
    </xf>
    <xf numFmtId="0" fontId="25" fillId="6" borderId="12" xfId="0" applyFont="1" applyFill="1" applyBorder="1" applyProtection="1">
      <protection locked="0"/>
    </xf>
    <xf numFmtId="0" fontId="22" fillId="7" borderId="0" xfId="0" applyFont="1" applyFill="1"/>
    <xf numFmtId="0" fontId="22" fillId="13" borderId="0" xfId="0" applyFont="1" applyFill="1"/>
    <xf numFmtId="0" fontId="17" fillId="10" borderId="0" xfId="0" applyFont="1" applyFill="1" applyAlignment="1">
      <alignment horizontal="center"/>
    </xf>
    <xf numFmtId="168" fontId="17" fillId="10" borderId="0" xfId="0" applyNumberFormat="1" applyFont="1" applyFill="1" applyAlignment="1">
      <alignment horizontal="center"/>
    </xf>
    <xf numFmtId="10" fontId="17" fillId="10" borderId="0" xfId="0" applyNumberFormat="1" applyFont="1" applyFill="1" applyAlignment="1">
      <alignment horizontal="center"/>
    </xf>
    <xf numFmtId="2" fontId="17" fillId="10" borderId="0" xfId="0" applyNumberFormat="1" applyFont="1" applyFill="1" applyAlignment="1">
      <alignment horizontal="center"/>
    </xf>
    <xf numFmtId="14" fontId="25" fillId="6" borderId="12" xfId="0" applyNumberFormat="1" applyFont="1" applyFill="1" applyBorder="1" applyProtection="1">
      <protection locked="0"/>
    </xf>
    <xf numFmtId="14" fontId="25" fillId="6" borderId="12" xfId="0" applyNumberFormat="1" applyFont="1" applyFill="1" applyBorder="1" applyAlignment="1" applyProtection="1">
      <alignment horizontal="left" vertical="center"/>
      <protection locked="0"/>
    </xf>
    <xf numFmtId="0" fontId="25" fillId="6" borderId="12" xfId="0" applyFont="1" applyFill="1" applyBorder="1" applyAlignment="1" applyProtection="1">
      <alignment horizontal="left" vertical="center"/>
      <protection locked="0"/>
    </xf>
    <xf numFmtId="0" fontId="22" fillId="8" borderId="12" xfId="0" applyFont="1" applyFill="1" applyBorder="1" applyAlignment="1" applyProtection="1">
      <alignment horizontal="left" vertical="center"/>
      <protection locked="0"/>
    </xf>
    <xf numFmtId="14" fontId="22" fillId="8" borderId="12" xfId="0" applyNumberFormat="1" applyFont="1" applyFill="1" applyBorder="1" applyAlignment="1" applyProtection="1">
      <alignment horizontal="left" vertical="center"/>
      <protection locked="0"/>
    </xf>
    <xf numFmtId="0" fontId="18" fillId="12" borderId="0" xfId="0" applyFont="1" applyFill="1" applyAlignment="1" applyProtection="1">
      <alignment horizontal="left" vertical="center"/>
    </xf>
    <xf numFmtId="0" fontId="19" fillId="12" borderId="0" xfId="0" applyFont="1" applyFill="1" applyAlignment="1" applyProtection="1">
      <alignment horizontal="left" vertical="center"/>
    </xf>
    <xf numFmtId="0" fontId="5" fillId="6" borderId="0" xfId="0" applyFont="1" applyFill="1" applyAlignment="1" applyProtection="1">
      <alignment horizontal="left" vertical="center"/>
    </xf>
    <xf numFmtId="0" fontId="24" fillId="8" borderId="12" xfId="0" applyFont="1" applyFill="1" applyBorder="1" applyProtection="1">
      <protection locked="0"/>
    </xf>
    <xf numFmtId="0" fontId="17" fillId="6" borderId="0" xfId="0" applyFont="1" applyFill="1" applyBorder="1" applyAlignment="1" applyProtection="1">
      <alignment horizontal="center"/>
    </xf>
    <xf numFmtId="0" fontId="15" fillId="0" borderId="0" xfId="0" applyFont="1" applyAlignment="1" applyProtection="1">
      <alignment horizontal="right" vertical="center" indent="2"/>
    </xf>
    <xf numFmtId="0" fontId="17" fillId="0" borderId="0" xfId="0" applyFont="1" applyFill="1" applyBorder="1" applyAlignment="1">
      <alignment horizontal="left" vertical="center" indent="1"/>
    </xf>
    <xf numFmtId="0" fontId="17" fillId="6" borderId="0" xfId="0" applyFont="1" applyFill="1" applyBorder="1" applyAlignment="1" applyProtection="1">
      <alignment horizontal="center" vertical="center"/>
    </xf>
    <xf numFmtId="0" fontId="22" fillId="7" borderId="0" xfId="0" applyFont="1" applyFill="1" applyAlignment="1">
      <alignment horizontal="left" indent="1"/>
    </xf>
    <xf numFmtId="0" fontId="22" fillId="13" borderId="0" xfId="0" applyFont="1" applyFill="1" applyAlignment="1">
      <alignment horizontal="left" indent="1"/>
    </xf>
    <xf numFmtId="0" fontId="11" fillId="0" borderId="0" xfId="0" applyFont="1" applyFill="1" applyBorder="1"/>
    <xf numFmtId="168" fontId="10" fillId="8" borderId="10" xfId="0" applyNumberFormat="1" applyFont="1" applyFill="1" applyBorder="1" applyProtection="1">
      <protection locked="0"/>
    </xf>
    <xf numFmtId="168" fontId="10" fillId="8" borderId="11" xfId="0" applyNumberFormat="1" applyFont="1" applyFill="1" applyBorder="1" applyProtection="1">
      <protection locked="0"/>
    </xf>
    <xf numFmtId="10" fontId="10" fillId="8" borderId="10" xfId="0" applyNumberFormat="1" applyFont="1" applyFill="1" applyBorder="1" applyProtection="1">
      <protection locked="0"/>
    </xf>
    <xf numFmtId="10" fontId="10" fillId="8" borderId="11" xfId="0" applyNumberFormat="1" applyFont="1" applyFill="1" applyBorder="1" applyProtection="1">
      <protection locked="0"/>
    </xf>
    <xf numFmtId="168" fontId="10" fillId="6" borderId="10" xfId="0" applyNumberFormat="1" applyFont="1" applyFill="1" applyBorder="1" applyProtection="1"/>
    <xf numFmtId="168" fontId="10" fillId="6" borderId="11" xfId="0" applyNumberFormat="1" applyFont="1" applyFill="1" applyBorder="1" applyProtection="1"/>
    <xf numFmtId="0" fontId="7" fillId="0" borderId="7" xfId="0" applyFont="1" applyBorder="1"/>
    <xf numFmtId="0" fontId="7" fillId="6" borderId="0" xfId="0" applyFont="1" applyFill="1"/>
  </cellXfs>
  <cellStyles count="3">
    <cellStyle name="Normaali" xfId="0" builtinId="0"/>
    <cellStyle name="Prosenttia" xfId="2" builtinId="5"/>
    <cellStyle name="Valuutta" xfId="1" builtinId="4"/>
  </cellStyles>
  <dxfs count="2">
    <dxf>
      <fill>
        <patternFill patternType="solid">
          <bgColor theme="4" tint="0.59996337778862885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10</xdr:col>
      <xdr:colOff>4118</xdr:colOff>
      <xdr:row>20</xdr:row>
      <xdr:rowOff>0</xdr:rowOff>
    </xdr:to>
    <xdr:sp macro="" textlink="">
      <xdr:nvSpPr>
        <xdr:cNvPr id="26" name="frm_Kustannuslajit">
          <a:extLst>
            <a:ext uri="{FF2B5EF4-FFF2-40B4-BE49-F238E27FC236}">
              <a16:creationId xmlns:a16="http://schemas.microsoft.com/office/drawing/2014/main" id="{4947CD6A-B6EA-C32A-1CAC-81E4143AB256}"/>
            </a:ext>
          </a:extLst>
        </xdr:cNvPr>
        <xdr:cNvSpPr/>
      </xdr:nvSpPr>
      <xdr:spPr>
        <a:xfrm>
          <a:off x="0" y="3192780"/>
          <a:ext cx="13502639" cy="1714500"/>
        </a:xfrm>
        <a:prstGeom prst="rect">
          <a:avLst/>
        </a:prstGeom>
        <a:noFill/>
        <a:ln w="12700" cap="flat" cmpd="sng" algn="ctr">
          <a:solidFill>
            <a:srgbClr val="DAECD5"/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fi-FI" sz="1100"/>
        </a:p>
      </xdr:txBody>
    </xdr:sp>
    <xdr:clientData/>
  </xdr:twoCellAnchor>
  <xdr:twoCellAnchor editAs="oneCell">
    <xdr:from>
      <xdr:col>0</xdr:col>
      <xdr:colOff>0</xdr:colOff>
      <xdr:row>4</xdr:row>
      <xdr:rowOff>0</xdr:rowOff>
    </xdr:from>
    <xdr:to>
      <xdr:col>2</xdr:col>
      <xdr:colOff>0</xdr:colOff>
      <xdr:row>12</xdr:row>
      <xdr:rowOff>0</xdr:rowOff>
    </xdr:to>
    <xdr:sp macro="" textlink="">
      <xdr:nvSpPr>
        <xdr:cNvPr id="25" name="frm_Ennustepaneeli">
          <a:extLst>
            <a:ext uri="{FF2B5EF4-FFF2-40B4-BE49-F238E27FC236}">
              <a16:creationId xmlns:a16="http://schemas.microsoft.com/office/drawing/2014/main" id="{E649B90C-2017-3C64-588C-13709760BBF2}"/>
            </a:ext>
          </a:extLst>
        </xdr:cNvPr>
        <xdr:cNvSpPr/>
      </xdr:nvSpPr>
      <xdr:spPr>
        <a:xfrm>
          <a:off x="0" y="990600"/>
          <a:ext cx="3749040" cy="1958340"/>
        </a:xfrm>
        <a:prstGeom prst="rect">
          <a:avLst/>
        </a:prstGeom>
        <a:noFill/>
        <a:ln w="12700" cap="flat" cmpd="sng" algn="ctr">
          <a:solidFill>
            <a:srgbClr val="DAECD5"/>
          </a:solidFill>
          <a:prstDash val="soli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  <a:extLst>
          <a:ext uri="{909E8E84-426E-40DD-AFC4-6F175D3DCCD1}">
            <a14:hiddenFill xmlns:a14="http://schemas.microsoft.com/office/drawing/2010/main">
              <a:gradFill rotWithShape="1">
                <a:gsLst>
                  <a:gs pos="0">
                    <a:schemeClr val="accent1">
                      <a:tint val="100000"/>
                      <a:shade val="100000"/>
                      <a:satMod val="130000"/>
                    </a:schemeClr>
                  </a:gs>
                  <a:gs pos="100000">
                    <a:schemeClr val="accent1">
                      <a:tint val="50000"/>
                      <a:shade val="100000"/>
                      <a:satMod val="350000"/>
                    </a:schemeClr>
                  </a:gs>
                </a:gsLst>
                <a:lin ang="16200000" scaled="0"/>
              </a:gradFill>
            </a14:hiddenFill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endParaRPr lang="fi-FI" sz="1100"/>
        </a:p>
      </xdr:txBody>
    </xdr:sp>
    <xdr:clientData/>
  </xdr:twoCellAnchor>
  <xdr:twoCellAnchor>
    <xdr:from>
      <xdr:col>3</xdr:col>
      <xdr:colOff>0</xdr:colOff>
      <xdr:row>1</xdr:row>
      <xdr:rowOff>181610</xdr:rowOff>
    </xdr:from>
    <xdr:to>
      <xdr:col>4</xdr:col>
      <xdr:colOff>304800</xdr:colOff>
      <xdr:row>3</xdr:row>
      <xdr:rowOff>1270</xdr:rowOff>
    </xdr:to>
    <xdr:sp macro="PaivitaLitteranTiedot" textlink="">
      <xdr:nvSpPr>
        <xdr:cNvPr id="2" name="btn_PaivitaLitteranTiedot">
          <a:extLst>
            <a:ext uri="{FF2B5EF4-FFF2-40B4-BE49-F238E27FC236}">
              <a16:creationId xmlns:a16="http://schemas.microsoft.com/office/drawing/2014/main" id="{66B2EBA6-917D-4931-2B5D-9A6B1805DAE5}"/>
            </a:ext>
          </a:extLst>
        </xdr:cNvPr>
        <xdr:cNvSpPr/>
      </xdr:nvSpPr>
      <xdr:spPr>
        <a:xfrm>
          <a:off x="4968240" y="494030"/>
          <a:ext cx="1524000" cy="2540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Hae tiedot</a:t>
          </a:r>
        </a:p>
      </xdr:txBody>
    </xdr:sp>
    <xdr:clientData fLocksWithSheet="0"/>
  </xdr:twoCellAnchor>
  <xdr:twoCellAnchor>
    <xdr:from>
      <xdr:col>5</xdr:col>
      <xdr:colOff>0</xdr:colOff>
      <xdr:row>1</xdr:row>
      <xdr:rowOff>181610</xdr:rowOff>
    </xdr:from>
    <xdr:to>
      <xdr:col>6</xdr:col>
      <xdr:colOff>304800</xdr:colOff>
      <xdr:row>3</xdr:row>
      <xdr:rowOff>1270</xdr:rowOff>
    </xdr:to>
    <xdr:sp macro="TallennaMuistiot" textlink="">
      <xdr:nvSpPr>
        <xdr:cNvPr id="3" name="btn_TallennaMuistiot">
          <a:extLst>
            <a:ext uri="{FF2B5EF4-FFF2-40B4-BE49-F238E27FC236}">
              <a16:creationId xmlns:a16="http://schemas.microsoft.com/office/drawing/2014/main" id="{D84F7C6C-33F2-F705-F39E-33241E798833}"/>
            </a:ext>
          </a:extLst>
        </xdr:cNvPr>
        <xdr:cNvSpPr/>
      </xdr:nvSpPr>
      <xdr:spPr>
        <a:xfrm>
          <a:off x="7406640" y="494030"/>
          <a:ext cx="1524000" cy="2540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Tallenna ennuste</a:t>
          </a:r>
        </a:p>
      </xdr:txBody>
    </xdr:sp>
    <xdr:clientData fLocksWithSheet="0"/>
  </xdr:twoCellAnchor>
  <xdr:twoCellAnchor>
    <xdr:from>
      <xdr:col>3</xdr:col>
      <xdr:colOff>0</xdr:colOff>
      <xdr:row>3</xdr:row>
      <xdr:rowOff>242570</xdr:rowOff>
    </xdr:from>
    <xdr:to>
      <xdr:col>4</xdr:col>
      <xdr:colOff>304800</xdr:colOff>
      <xdr:row>5</xdr:row>
      <xdr:rowOff>1270</xdr:rowOff>
    </xdr:to>
    <xdr:sp macro="EdellinenLittera" textlink="">
      <xdr:nvSpPr>
        <xdr:cNvPr id="4" name="btn_EdellinenLittera">
          <a:extLst>
            <a:ext uri="{FF2B5EF4-FFF2-40B4-BE49-F238E27FC236}">
              <a16:creationId xmlns:a16="http://schemas.microsoft.com/office/drawing/2014/main" id="{7CC0974D-F462-9446-34AF-D387D625D3A0}"/>
            </a:ext>
          </a:extLst>
        </xdr:cNvPr>
        <xdr:cNvSpPr/>
      </xdr:nvSpPr>
      <xdr:spPr>
        <a:xfrm>
          <a:off x="4968240" y="989330"/>
          <a:ext cx="1524000" cy="2540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Edellinen</a:t>
          </a:r>
        </a:p>
      </xdr:txBody>
    </xdr:sp>
    <xdr:clientData fLocksWithSheet="0"/>
  </xdr:twoCellAnchor>
  <xdr:twoCellAnchor>
    <xdr:from>
      <xdr:col>5</xdr:col>
      <xdr:colOff>0</xdr:colOff>
      <xdr:row>3</xdr:row>
      <xdr:rowOff>242570</xdr:rowOff>
    </xdr:from>
    <xdr:to>
      <xdr:col>6</xdr:col>
      <xdr:colOff>304800</xdr:colOff>
      <xdr:row>5</xdr:row>
      <xdr:rowOff>1270</xdr:rowOff>
    </xdr:to>
    <xdr:sp macro="SeuraavaLittera" textlink="">
      <xdr:nvSpPr>
        <xdr:cNvPr id="5" name="btn_SeuraavaLittera">
          <a:extLst>
            <a:ext uri="{FF2B5EF4-FFF2-40B4-BE49-F238E27FC236}">
              <a16:creationId xmlns:a16="http://schemas.microsoft.com/office/drawing/2014/main" id="{B8410E9F-9E85-FAE2-2F82-688BB1755C4D}"/>
            </a:ext>
          </a:extLst>
        </xdr:cNvPr>
        <xdr:cNvSpPr/>
      </xdr:nvSpPr>
      <xdr:spPr>
        <a:xfrm>
          <a:off x="7406640" y="989330"/>
          <a:ext cx="1524000" cy="2540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Seuraava</a:t>
          </a:r>
        </a:p>
      </xdr:txBody>
    </xdr:sp>
    <xdr:clientData fLocksWithSheet="0"/>
  </xdr:twoCellAnchor>
  <xdr:twoCellAnchor>
    <xdr:from>
      <xdr:col>13</xdr:col>
      <xdr:colOff>609599</xdr:colOff>
      <xdr:row>2</xdr:row>
      <xdr:rowOff>49530</xdr:rowOff>
    </xdr:from>
    <xdr:to>
      <xdr:col>15</xdr:col>
      <xdr:colOff>406399</xdr:colOff>
      <xdr:row>2</xdr:row>
      <xdr:rowOff>201930</xdr:rowOff>
    </xdr:to>
    <xdr:sp macro="TyhjennaLaskentaAlue" textlink="">
      <xdr:nvSpPr>
        <xdr:cNvPr id="6" name="btn_TyhjennaLaskentaAlue">
          <a:extLst>
            <a:ext uri="{FF2B5EF4-FFF2-40B4-BE49-F238E27FC236}">
              <a16:creationId xmlns:a16="http://schemas.microsoft.com/office/drawing/2014/main" id="{56816512-863C-DE26-74CF-A768C9C0EB9B}"/>
            </a:ext>
          </a:extLst>
        </xdr:cNvPr>
        <xdr:cNvSpPr/>
      </xdr:nvSpPr>
      <xdr:spPr>
        <a:xfrm>
          <a:off x="16550639" y="544830"/>
          <a:ext cx="1016000" cy="1524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Tyhjennä</a:t>
          </a:r>
        </a:p>
      </xdr:txBody>
    </xdr:sp>
    <xdr:clientData fLocksWithSheet="0"/>
  </xdr:twoCellAnchor>
  <xdr:twoCellAnchor>
    <xdr:from>
      <xdr:col>15</xdr:col>
      <xdr:colOff>609599</xdr:colOff>
      <xdr:row>2</xdr:row>
      <xdr:rowOff>49530</xdr:rowOff>
    </xdr:from>
    <xdr:to>
      <xdr:col>17</xdr:col>
      <xdr:colOff>406399</xdr:colOff>
      <xdr:row>2</xdr:row>
      <xdr:rowOff>201930</xdr:rowOff>
    </xdr:to>
    <xdr:sp macro="PalautaLaskentaAlue" textlink="">
      <xdr:nvSpPr>
        <xdr:cNvPr id="7" name="btn_PalautaLaskentaAlue">
          <a:extLst>
            <a:ext uri="{FF2B5EF4-FFF2-40B4-BE49-F238E27FC236}">
              <a16:creationId xmlns:a16="http://schemas.microsoft.com/office/drawing/2014/main" id="{9C4A569C-DDF3-16EC-D004-408BCF66AF1E}"/>
            </a:ext>
          </a:extLst>
        </xdr:cNvPr>
        <xdr:cNvSpPr/>
      </xdr:nvSpPr>
      <xdr:spPr>
        <a:xfrm>
          <a:off x="17769839" y="544830"/>
          <a:ext cx="1016000" cy="1524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Palauta</a:t>
          </a:r>
        </a:p>
      </xdr:txBody>
    </xdr:sp>
    <xdr:clientData fLocksWithSheet="0"/>
  </xdr:twoCellAnchor>
  <xdr:twoCellAnchor>
    <xdr:from>
      <xdr:col>3</xdr:col>
      <xdr:colOff>0</xdr:colOff>
      <xdr:row>5</xdr:row>
      <xdr:rowOff>238760</xdr:rowOff>
    </xdr:from>
    <xdr:to>
      <xdr:col>4</xdr:col>
      <xdr:colOff>304800</xdr:colOff>
      <xdr:row>7</xdr:row>
      <xdr:rowOff>5080</xdr:rowOff>
    </xdr:to>
    <xdr:sp macro="MuokkaaProjektinTietoja" textlink="">
      <xdr:nvSpPr>
        <xdr:cNvPr id="8" name="btn_MuokkaaProjektinTietoja">
          <a:extLst>
            <a:ext uri="{FF2B5EF4-FFF2-40B4-BE49-F238E27FC236}">
              <a16:creationId xmlns:a16="http://schemas.microsoft.com/office/drawing/2014/main" id="{A5A4CEF6-E02E-A493-8042-BE87EF46FDE3}"/>
            </a:ext>
          </a:extLst>
        </xdr:cNvPr>
        <xdr:cNvSpPr/>
      </xdr:nvSpPr>
      <xdr:spPr>
        <a:xfrm>
          <a:off x="4968240" y="1480820"/>
          <a:ext cx="1524000" cy="2540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Projektitiedot</a:t>
          </a:r>
        </a:p>
      </xdr:txBody>
    </xdr:sp>
    <xdr:clientData fLocksWithSheet="0"/>
  </xdr:twoCellAnchor>
  <xdr:twoCellAnchor>
    <xdr:from>
      <xdr:col>5</xdr:col>
      <xdr:colOff>0</xdr:colOff>
      <xdr:row>5</xdr:row>
      <xdr:rowOff>238760</xdr:rowOff>
    </xdr:from>
    <xdr:to>
      <xdr:col>6</xdr:col>
      <xdr:colOff>304800</xdr:colOff>
      <xdr:row>7</xdr:row>
      <xdr:rowOff>5080</xdr:rowOff>
    </xdr:to>
    <xdr:sp macro="PaivitaPaaryhmataso" textlink="">
      <xdr:nvSpPr>
        <xdr:cNvPr id="9" name="btn_PaivitaPaaryhmataso">
          <a:extLst>
            <a:ext uri="{FF2B5EF4-FFF2-40B4-BE49-F238E27FC236}">
              <a16:creationId xmlns:a16="http://schemas.microsoft.com/office/drawing/2014/main" id="{6EAB1EB7-3F3F-62F3-F633-6B58101DC3FC}"/>
            </a:ext>
          </a:extLst>
        </xdr:cNvPr>
        <xdr:cNvSpPr/>
      </xdr:nvSpPr>
      <xdr:spPr>
        <a:xfrm>
          <a:off x="7406640" y="1480820"/>
          <a:ext cx="1524000" cy="2540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Pääryhmäraportti</a:t>
          </a:r>
        </a:p>
      </xdr:txBody>
    </xdr:sp>
    <xdr:clientData fLocksWithSheet="0"/>
  </xdr:twoCellAnchor>
  <xdr:twoCellAnchor>
    <xdr:from>
      <xdr:col>5</xdr:col>
      <xdr:colOff>774700</xdr:colOff>
      <xdr:row>14</xdr:row>
      <xdr:rowOff>53340</xdr:rowOff>
    </xdr:from>
    <xdr:to>
      <xdr:col>6</xdr:col>
      <xdr:colOff>78528</xdr:colOff>
      <xdr:row>15</xdr:row>
      <xdr:rowOff>38345</xdr:rowOff>
    </xdr:to>
    <xdr:sp macro="[0]!MemoGlyphClick" textlink="">
      <xdr:nvSpPr>
        <xdr:cNvPr id="10" name="memoGlyph_15_6">
          <a:extLst>
            <a:ext uri="{FF2B5EF4-FFF2-40B4-BE49-F238E27FC236}">
              <a16:creationId xmlns:a16="http://schemas.microsoft.com/office/drawing/2014/main" id="{F2F69348-241E-5EB1-8013-567D5F42538D}"/>
            </a:ext>
          </a:extLst>
        </xdr:cNvPr>
        <xdr:cNvSpPr txBox="1"/>
      </xdr:nvSpPr>
      <xdr:spPr>
        <a:xfrm>
          <a:off x="8181340" y="349758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7</xdr:col>
      <xdr:colOff>774700</xdr:colOff>
      <xdr:row>14</xdr:row>
      <xdr:rowOff>53340</xdr:rowOff>
    </xdr:from>
    <xdr:to>
      <xdr:col>8</xdr:col>
      <xdr:colOff>78528</xdr:colOff>
      <xdr:row>15</xdr:row>
      <xdr:rowOff>38345</xdr:rowOff>
    </xdr:to>
    <xdr:sp macro="[0]!MemoGlyphClick" textlink="">
      <xdr:nvSpPr>
        <xdr:cNvPr id="11" name="memoGlyph_15_8">
          <a:extLst>
            <a:ext uri="{FF2B5EF4-FFF2-40B4-BE49-F238E27FC236}">
              <a16:creationId xmlns:a16="http://schemas.microsoft.com/office/drawing/2014/main" id="{E99A6C2A-9868-8779-C526-A1966C7DAA8D}"/>
            </a:ext>
          </a:extLst>
        </xdr:cNvPr>
        <xdr:cNvSpPr txBox="1"/>
      </xdr:nvSpPr>
      <xdr:spPr>
        <a:xfrm>
          <a:off x="10619740" y="349758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9</xdr:col>
      <xdr:colOff>774699</xdr:colOff>
      <xdr:row>14</xdr:row>
      <xdr:rowOff>53340</xdr:rowOff>
    </xdr:from>
    <xdr:to>
      <xdr:col>10</xdr:col>
      <xdr:colOff>78527</xdr:colOff>
      <xdr:row>15</xdr:row>
      <xdr:rowOff>38345</xdr:rowOff>
    </xdr:to>
    <xdr:sp macro="[0]!MemoGlyphClick" textlink="">
      <xdr:nvSpPr>
        <xdr:cNvPr id="12" name="memoGlyph_15_10">
          <a:extLst>
            <a:ext uri="{FF2B5EF4-FFF2-40B4-BE49-F238E27FC236}">
              <a16:creationId xmlns:a16="http://schemas.microsoft.com/office/drawing/2014/main" id="{3CBDC5D4-072D-58EF-5BE0-6F5643EAEAF6}"/>
            </a:ext>
          </a:extLst>
        </xdr:cNvPr>
        <xdr:cNvSpPr txBox="1"/>
      </xdr:nvSpPr>
      <xdr:spPr>
        <a:xfrm>
          <a:off x="13058139" y="349758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5</xdr:col>
      <xdr:colOff>774700</xdr:colOff>
      <xdr:row>15</xdr:row>
      <xdr:rowOff>53340</xdr:rowOff>
    </xdr:from>
    <xdr:to>
      <xdr:col>6</xdr:col>
      <xdr:colOff>78528</xdr:colOff>
      <xdr:row>16</xdr:row>
      <xdr:rowOff>38345</xdr:rowOff>
    </xdr:to>
    <xdr:sp macro="[0]!MemoGlyphClick" textlink="">
      <xdr:nvSpPr>
        <xdr:cNvPr id="13" name="memoGlyph_16_6">
          <a:extLst>
            <a:ext uri="{FF2B5EF4-FFF2-40B4-BE49-F238E27FC236}">
              <a16:creationId xmlns:a16="http://schemas.microsoft.com/office/drawing/2014/main" id="{6B562C17-464F-78F5-BE7E-52E9035410DC}"/>
            </a:ext>
          </a:extLst>
        </xdr:cNvPr>
        <xdr:cNvSpPr txBox="1"/>
      </xdr:nvSpPr>
      <xdr:spPr>
        <a:xfrm>
          <a:off x="8181340" y="374142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7</xdr:col>
      <xdr:colOff>774700</xdr:colOff>
      <xdr:row>15</xdr:row>
      <xdr:rowOff>53340</xdr:rowOff>
    </xdr:from>
    <xdr:to>
      <xdr:col>8</xdr:col>
      <xdr:colOff>78528</xdr:colOff>
      <xdr:row>16</xdr:row>
      <xdr:rowOff>38345</xdr:rowOff>
    </xdr:to>
    <xdr:sp macro="[0]!MemoGlyphClick" textlink="">
      <xdr:nvSpPr>
        <xdr:cNvPr id="14" name="memoGlyph_16_8">
          <a:extLst>
            <a:ext uri="{FF2B5EF4-FFF2-40B4-BE49-F238E27FC236}">
              <a16:creationId xmlns:a16="http://schemas.microsoft.com/office/drawing/2014/main" id="{8540FCD8-4007-F6ED-CDEF-AE37BC1F6BB2}"/>
            </a:ext>
          </a:extLst>
        </xdr:cNvPr>
        <xdr:cNvSpPr txBox="1"/>
      </xdr:nvSpPr>
      <xdr:spPr>
        <a:xfrm>
          <a:off x="10619740" y="374142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9</xdr:col>
      <xdr:colOff>774699</xdr:colOff>
      <xdr:row>15</xdr:row>
      <xdr:rowOff>53340</xdr:rowOff>
    </xdr:from>
    <xdr:to>
      <xdr:col>10</xdr:col>
      <xdr:colOff>78527</xdr:colOff>
      <xdr:row>16</xdr:row>
      <xdr:rowOff>38345</xdr:rowOff>
    </xdr:to>
    <xdr:sp macro="[0]!MemoGlyphClick" textlink="">
      <xdr:nvSpPr>
        <xdr:cNvPr id="15" name="memoGlyph_16_10">
          <a:extLst>
            <a:ext uri="{FF2B5EF4-FFF2-40B4-BE49-F238E27FC236}">
              <a16:creationId xmlns:a16="http://schemas.microsoft.com/office/drawing/2014/main" id="{47E2061B-5B17-F88D-081E-FCB5CE0D666D}"/>
            </a:ext>
          </a:extLst>
        </xdr:cNvPr>
        <xdr:cNvSpPr txBox="1"/>
      </xdr:nvSpPr>
      <xdr:spPr>
        <a:xfrm>
          <a:off x="13058139" y="374142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5</xdr:col>
      <xdr:colOff>774700</xdr:colOff>
      <xdr:row>16</xdr:row>
      <xdr:rowOff>53340</xdr:rowOff>
    </xdr:from>
    <xdr:to>
      <xdr:col>6</xdr:col>
      <xdr:colOff>78528</xdr:colOff>
      <xdr:row>17</xdr:row>
      <xdr:rowOff>38345</xdr:rowOff>
    </xdr:to>
    <xdr:sp macro="[0]!MemoGlyphClick" textlink="">
      <xdr:nvSpPr>
        <xdr:cNvPr id="16" name="memoGlyph_17_6">
          <a:extLst>
            <a:ext uri="{FF2B5EF4-FFF2-40B4-BE49-F238E27FC236}">
              <a16:creationId xmlns:a16="http://schemas.microsoft.com/office/drawing/2014/main" id="{313E17E4-4A42-AAD8-6AF2-BB10BC493461}"/>
            </a:ext>
          </a:extLst>
        </xdr:cNvPr>
        <xdr:cNvSpPr txBox="1"/>
      </xdr:nvSpPr>
      <xdr:spPr>
        <a:xfrm>
          <a:off x="8181340" y="398526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7</xdr:col>
      <xdr:colOff>774700</xdr:colOff>
      <xdr:row>16</xdr:row>
      <xdr:rowOff>53340</xdr:rowOff>
    </xdr:from>
    <xdr:to>
      <xdr:col>8</xdr:col>
      <xdr:colOff>78528</xdr:colOff>
      <xdr:row>17</xdr:row>
      <xdr:rowOff>38345</xdr:rowOff>
    </xdr:to>
    <xdr:sp macro="[0]!MemoGlyphClick" textlink="">
      <xdr:nvSpPr>
        <xdr:cNvPr id="17" name="memoGlyph_17_8">
          <a:extLst>
            <a:ext uri="{FF2B5EF4-FFF2-40B4-BE49-F238E27FC236}">
              <a16:creationId xmlns:a16="http://schemas.microsoft.com/office/drawing/2014/main" id="{C017E577-D1FD-6ED0-4D82-889C3541E5D6}"/>
            </a:ext>
          </a:extLst>
        </xdr:cNvPr>
        <xdr:cNvSpPr txBox="1"/>
      </xdr:nvSpPr>
      <xdr:spPr>
        <a:xfrm>
          <a:off x="10619740" y="398526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9</xdr:col>
      <xdr:colOff>774699</xdr:colOff>
      <xdr:row>16</xdr:row>
      <xdr:rowOff>53340</xdr:rowOff>
    </xdr:from>
    <xdr:to>
      <xdr:col>10</xdr:col>
      <xdr:colOff>78527</xdr:colOff>
      <xdr:row>17</xdr:row>
      <xdr:rowOff>38345</xdr:rowOff>
    </xdr:to>
    <xdr:sp macro="[0]!MemoGlyphClick" textlink="">
      <xdr:nvSpPr>
        <xdr:cNvPr id="18" name="memoGlyph_17_10">
          <a:extLst>
            <a:ext uri="{FF2B5EF4-FFF2-40B4-BE49-F238E27FC236}">
              <a16:creationId xmlns:a16="http://schemas.microsoft.com/office/drawing/2014/main" id="{54A6FE72-626A-A25A-AE7D-14C86761BB26}"/>
            </a:ext>
          </a:extLst>
        </xdr:cNvPr>
        <xdr:cNvSpPr txBox="1"/>
      </xdr:nvSpPr>
      <xdr:spPr>
        <a:xfrm>
          <a:off x="13058139" y="398526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5</xdr:col>
      <xdr:colOff>774700</xdr:colOff>
      <xdr:row>17</xdr:row>
      <xdr:rowOff>53340</xdr:rowOff>
    </xdr:from>
    <xdr:to>
      <xdr:col>6</xdr:col>
      <xdr:colOff>78528</xdr:colOff>
      <xdr:row>18</xdr:row>
      <xdr:rowOff>38345</xdr:rowOff>
    </xdr:to>
    <xdr:sp macro="[0]!MemoGlyphClick" textlink="">
      <xdr:nvSpPr>
        <xdr:cNvPr id="19" name="memoGlyph_18_6">
          <a:extLst>
            <a:ext uri="{FF2B5EF4-FFF2-40B4-BE49-F238E27FC236}">
              <a16:creationId xmlns:a16="http://schemas.microsoft.com/office/drawing/2014/main" id="{FCB08C84-29AA-797D-CF00-EEA6B3686E51}"/>
            </a:ext>
          </a:extLst>
        </xdr:cNvPr>
        <xdr:cNvSpPr txBox="1"/>
      </xdr:nvSpPr>
      <xdr:spPr>
        <a:xfrm>
          <a:off x="8181340" y="422910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7</xdr:col>
      <xdr:colOff>774700</xdr:colOff>
      <xdr:row>17</xdr:row>
      <xdr:rowOff>53340</xdr:rowOff>
    </xdr:from>
    <xdr:to>
      <xdr:col>8</xdr:col>
      <xdr:colOff>78528</xdr:colOff>
      <xdr:row>18</xdr:row>
      <xdr:rowOff>38345</xdr:rowOff>
    </xdr:to>
    <xdr:sp macro="[0]!MemoGlyphClick" textlink="">
      <xdr:nvSpPr>
        <xdr:cNvPr id="20" name="memoGlyph_18_8">
          <a:extLst>
            <a:ext uri="{FF2B5EF4-FFF2-40B4-BE49-F238E27FC236}">
              <a16:creationId xmlns:a16="http://schemas.microsoft.com/office/drawing/2014/main" id="{0D72D6BE-0478-E965-77DC-3E8102905159}"/>
            </a:ext>
          </a:extLst>
        </xdr:cNvPr>
        <xdr:cNvSpPr txBox="1"/>
      </xdr:nvSpPr>
      <xdr:spPr>
        <a:xfrm>
          <a:off x="10619740" y="422910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9</xdr:col>
      <xdr:colOff>774699</xdr:colOff>
      <xdr:row>17</xdr:row>
      <xdr:rowOff>53340</xdr:rowOff>
    </xdr:from>
    <xdr:to>
      <xdr:col>10</xdr:col>
      <xdr:colOff>78527</xdr:colOff>
      <xdr:row>18</xdr:row>
      <xdr:rowOff>38345</xdr:rowOff>
    </xdr:to>
    <xdr:sp macro="[0]!MemoGlyphClick" textlink="">
      <xdr:nvSpPr>
        <xdr:cNvPr id="21" name="memoGlyph_18_10">
          <a:extLst>
            <a:ext uri="{FF2B5EF4-FFF2-40B4-BE49-F238E27FC236}">
              <a16:creationId xmlns:a16="http://schemas.microsoft.com/office/drawing/2014/main" id="{84B365EF-053E-06B5-F5CE-E7C608463950}"/>
            </a:ext>
          </a:extLst>
        </xdr:cNvPr>
        <xdr:cNvSpPr txBox="1"/>
      </xdr:nvSpPr>
      <xdr:spPr>
        <a:xfrm>
          <a:off x="13058139" y="422910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5</xdr:col>
      <xdr:colOff>774700</xdr:colOff>
      <xdr:row>18</xdr:row>
      <xdr:rowOff>53340</xdr:rowOff>
    </xdr:from>
    <xdr:to>
      <xdr:col>6</xdr:col>
      <xdr:colOff>78528</xdr:colOff>
      <xdr:row>19</xdr:row>
      <xdr:rowOff>38345</xdr:rowOff>
    </xdr:to>
    <xdr:sp macro="[0]!MemoGlyphClick" textlink="">
      <xdr:nvSpPr>
        <xdr:cNvPr id="22" name="memoGlyph_19_6">
          <a:extLst>
            <a:ext uri="{FF2B5EF4-FFF2-40B4-BE49-F238E27FC236}">
              <a16:creationId xmlns:a16="http://schemas.microsoft.com/office/drawing/2014/main" id="{F9FB0A87-26FA-D657-AD9A-B82FA5DA7198}"/>
            </a:ext>
          </a:extLst>
        </xdr:cNvPr>
        <xdr:cNvSpPr txBox="1"/>
      </xdr:nvSpPr>
      <xdr:spPr>
        <a:xfrm>
          <a:off x="8181340" y="447294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7</xdr:col>
      <xdr:colOff>774700</xdr:colOff>
      <xdr:row>18</xdr:row>
      <xdr:rowOff>53340</xdr:rowOff>
    </xdr:from>
    <xdr:to>
      <xdr:col>8</xdr:col>
      <xdr:colOff>78528</xdr:colOff>
      <xdr:row>19</xdr:row>
      <xdr:rowOff>38345</xdr:rowOff>
    </xdr:to>
    <xdr:sp macro="[0]!MemoGlyphClick" textlink="">
      <xdr:nvSpPr>
        <xdr:cNvPr id="23" name="memoGlyph_19_8">
          <a:extLst>
            <a:ext uri="{FF2B5EF4-FFF2-40B4-BE49-F238E27FC236}">
              <a16:creationId xmlns:a16="http://schemas.microsoft.com/office/drawing/2014/main" id="{7E7F70E4-AA01-487B-130B-9B482C8F31F7}"/>
            </a:ext>
          </a:extLst>
        </xdr:cNvPr>
        <xdr:cNvSpPr txBox="1"/>
      </xdr:nvSpPr>
      <xdr:spPr>
        <a:xfrm>
          <a:off x="10619740" y="447294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  <xdr:twoCellAnchor>
    <xdr:from>
      <xdr:col>9</xdr:col>
      <xdr:colOff>774699</xdr:colOff>
      <xdr:row>18</xdr:row>
      <xdr:rowOff>53340</xdr:rowOff>
    </xdr:from>
    <xdr:to>
      <xdr:col>10</xdr:col>
      <xdr:colOff>78527</xdr:colOff>
      <xdr:row>19</xdr:row>
      <xdr:rowOff>38345</xdr:rowOff>
    </xdr:to>
    <xdr:sp macro="[0]!MemoGlyphClick" textlink="">
      <xdr:nvSpPr>
        <xdr:cNvPr id="24" name="memoGlyph_19_10">
          <a:extLst>
            <a:ext uri="{FF2B5EF4-FFF2-40B4-BE49-F238E27FC236}">
              <a16:creationId xmlns:a16="http://schemas.microsoft.com/office/drawing/2014/main" id="{1AB38941-A874-2E9D-34CD-EA2FE1ED7ED8}"/>
            </a:ext>
          </a:extLst>
        </xdr:cNvPr>
        <xdr:cNvSpPr txBox="1"/>
      </xdr:nvSpPr>
      <xdr:spPr>
        <a:xfrm>
          <a:off x="13058139" y="4472940"/>
          <a:ext cx="523028" cy="22884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fi-FI" sz="800">
              <a:latin typeface="Segoe UI" panose="020B0502040204020203" pitchFamily="34" charset="0"/>
            </a:rPr>
            <a:t>Muistio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231140</xdr:rowOff>
    </xdr:from>
    <xdr:to>
      <xdr:col>10</xdr:col>
      <xdr:colOff>205740</xdr:colOff>
      <xdr:row>14</xdr:row>
      <xdr:rowOff>20320</xdr:rowOff>
    </xdr:to>
    <xdr:sp macro="PaivitaPaaryhmataso" textlink="">
      <xdr:nvSpPr>
        <xdr:cNvPr id="4" name="btn_PaivitaPaaryhmataso">
          <a:extLst>
            <a:ext uri="{FF2B5EF4-FFF2-40B4-BE49-F238E27FC236}">
              <a16:creationId xmlns:a16="http://schemas.microsoft.com/office/drawing/2014/main" id="{325B2273-C003-93C9-1E74-6FCD0A92EF90}"/>
            </a:ext>
          </a:extLst>
        </xdr:cNvPr>
        <xdr:cNvSpPr/>
      </xdr:nvSpPr>
      <xdr:spPr>
        <a:xfrm>
          <a:off x="9738360" y="2494280"/>
          <a:ext cx="1905000" cy="254000"/>
        </a:xfrm>
        <a:prstGeom prst="roundRect">
          <a:avLst/>
        </a:prstGeom>
        <a:gradFill flip="none" rotWithShape="1">
          <a:gsLst>
            <a:gs pos="0">
              <a:srgbClr val="8DB4E2"/>
            </a:gs>
            <a:gs pos="100000">
              <a:schemeClr val="accent1">
                <a:tint val="50000"/>
                <a:shade val="100000"/>
                <a:satMod val="350000"/>
              </a:schemeClr>
            </a:gs>
          </a:gsLst>
          <a:lin ang="16200000" scaled="0"/>
          <a:tileRect/>
        </a:gradFill>
        <a:ln>
          <a:solidFill>
            <a:srgbClr val="B4B4B4"/>
          </a:solidFill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fi-FI" sz="1200" b="1">
              <a:solidFill>
                <a:srgbClr val="00468C"/>
              </a:solidFill>
              <a:latin typeface="Segoe UI" panose="020B0502040204020203" pitchFamily="34" charset="0"/>
            </a:rPr>
            <a:t>PaivitaPaaryhmataso</a:t>
          </a:r>
        </a:p>
      </xdr:txBody>
    </xdr:sp>
    <xdr:clientData fLock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8CDDB-A28E-4FFD-B83D-45BE56084C8F}">
  <sheetPr codeName="Taul1"/>
  <dimension ref="A1:AC500"/>
  <sheetViews>
    <sheetView showGridLines="0" showRowColHeaders="0" zoomScale="74" zoomScaleNormal="74" workbookViewId="0">
      <pane ySplit="23" topLeftCell="A24" activePane="bottomLeft" state="frozen"/>
      <selection pane="bottomLeft" activeCell="B3" sqref="B3"/>
    </sheetView>
  </sheetViews>
  <sheetFormatPr defaultRowHeight="14.4" x14ac:dyDescent="0.3"/>
  <cols>
    <col min="1" max="1" width="36.88671875" style="66" bestFit="1" customWidth="1"/>
    <col min="2" max="11" width="17.77734375" style="56" customWidth="1"/>
    <col min="12" max="16384" width="8.88671875" style="56"/>
  </cols>
  <sheetData>
    <row r="1" spans="1:19" s="64" customFormat="1" ht="25.05" customHeight="1" x14ac:dyDescent="0.6">
      <c r="A1" s="102" t="s">
        <v>878</v>
      </c>
      <c r="B1" s="102"/>
      <c r="C1" s="102"/>
      <c r="D1" s="102"/>
      <c r="E1" s="64" t="s">
        <v>882</v>
      </c>
      <c r="J1" s="103" t="s">
        <v>879</v>
      </c>
      <c r="K1" s="103"/>
      <c r="O1" s="103" t="s">
        <v>797</v>
      </c>
      <c r="P1" s="103"/>
      <c r="Q1" s="103"/>
    </row>
    <row r="2" spans="1:19" x14ac:dyDescent="0.3">
      <c r="L2" s="62" t="s">
        <v>862</v>
      </c>
    </row>
    <row r="3" spans="1:19" ht="19.8" x14ac:dyDescent="0.45">
      <c r="A3" s="76" t="s">
        <v>737</v>
      </c>
      <c r="B3" s="73" t="s">
        <v>83</v>
      </c>
      <c r="H3" s="57" t="s">
        <v>769</v>
      </c>
      <c r="I3" s="57"/>
      <c r="L3" s="104" t="s">
        <v>766</v>
      </c>
      <c r="M3" s="104"/>
      <c r="N3" s="104"/>
      <c r="O3" s="104"/>
      <c r="P3" s="104"/>
      <c r="Q3" s="104"/>
      <c r="R3" s="104"/>
    </row>
    <row r="4" spans="1:19" ht="19.2" x14ac:dyDescent="0.45">
      <c r="G4" s="77"/>
      <c r="H4" s="56" t="s">
        <v>884</v>
      </c>
      <c r="L4" s="98">
        <v>45771</v>
      </c>
      <c r="M4" s="99"/>
      <c r="N4" s="90" t="s">
        <v>816</v>
      </c>
      <c r="O4" s="90">
        <v>3945.8099999999977</v>
      </c>
      <c r="P4" s="90"/>
      <c r="Q4" s="90"/>
      <c r="R4" s="90"/>
      <c r="S4" s="70"/>
    </row>
    <row r="5" spans="1:19" ht="19.8" x14ac:dyDescent="0.45">
      <c r="A5" s="67" t="s">
        <v>738</v>
      </c>
      <c r="B5" s="58"/>
      <c r="G5" s="77"/>
      <c r="H5" s="56" t="s">
        <v>885</v>
      </c>
      <c r="L5" s="98">
        <v>45771</v>
      </c>
      <c r="M5" s="99"/>
      <c r="N5" s="97" t="s">
        <v>817</v>
      </c>
      <c r="O5" s="90">
        <v>11500</v>
      </c>
      <c r="P5" s="90"/>
      <c r="Q5" s="90"/>
      <c r="R5" s="90"/>
      <c r="S5" s="70"/>
    </row>
    <row r="6" spans="1:19" ht="19.2" x14ac:dyDescent="0.45">
      <c r="A6" s="71" t="s">
        <v>757</v>
      </c>
      <c r="B6" s="78">
        <v>115098.252204</v>
      </c>
      <c r="G6" s="77"/>
      <c r="H6" s="56" t="s">
        <v>886</v>
      </c>
      <c r="L6" s="98" t="s">
        <v>818</v>
      </c>
      <c r="M6" s="99"/>
      <c r="N6" s="90"/>
      <c r="O6" s="90">
        <v>15445.809999999998</v>
      </c>
      <c r="P6" s="90"/>
      <c r="Q6" s="90"/>
      <c r="R6" s="90"/>
      <c r="S6" s="70"/>
    </row>
    <row r="7" spans="1:19" ht="19.2" x14ac:dyDescent="0.45">
      <c r="A7" s="71" t="s">
        <v>758</v>
      </c>
      <c r="B7" s="78">
        <v>119044.06</v>
      </c>
      <c r="G7" s="77"/>
      <c r="H7" s="56" t="s">
        <v>887</v>
      </c>
      <c r="L7" s="100"/>
      <c r="M7" s="100"/>
      <c r="N7" s="75"/>
      <c r="O7" s="75"/>
      <c r="P7" s="75"/>
      <c r="Q7" s="75"/>
      <c r="R7" s="75"/>
      <c r="S7" s="70"/>
    </row>
    <row r="8" spans="1:19" ht="19.2" x14ac:dyDescent="0.45">
      <c r="A8" s="71" t="s">
        <v>759</v>
      </c>
      <c r="B8" s="78">
        <v>130700.32</v>
      </c>
      <c r="G8" s="77"/>
      <c r="H8" s="56" t="s">
        <v>888</v>
      </c>
      <c r="L8" s="101"/>
      <c r="M8" s="100"/>
      <c r="N8" s="75"/>
      <c r="O8" s="75"/>
      <c r="P8" s="75"/>
      <c r="Q8" s="75"/>
      <c r="R8" s="75"/>
      <c r="S8" s="70"/>
    </row>
    <row r="9" spans="1:19" ht="19.2" x14ac:dyDescent="0.45">
      <c r="A9" s="71" t="s">
        <v>765</v>
      </c>
      <c r="B9" s="79" t="s">
        <v>881</v>
      </c>
      <c r="G9" s="77"/>
      <c r="H9" s="56" t="s">
        <v>889</v>
      </c>
      <c r="L9" s="100"/>
      <c r="M9" s="100"/>
      <c r="N9" s="75"/>
      <c r="O9" s="75"/>
      <c r="P9" s="75"/>
      <c r="Q9" s="75"/>
      <c r="R9" s="75"/>
      <c r="S9" s="70"/>
    </row>
    <row r="10" spans="1:19" ht="19.2" x14ac:dyDescent="0.45">
      <c r="A10" s="71" t="s">
        <v>760</v>
      </c>
      <c r="B10" s="80">
        <v>1.0342819999999999</v>
      </c>
      <c r="L10" s="100"/>
      <c r="M10" s="100"/>
      <c r="N10" s="75"/>
      <c r="O10" s="75"/>
      <c r="P10" s="75"/>
      <c r="Q10" s="75"/>
      <c r="R10" s="75"/>
    </row>
    <row r="11" spans="1:19" ht="19.2" x14ac:dyDescent="0.45">
      <c r="A11" s="71" t="s">
        <v>761</v>
      </c>
      <c r="B11" s="80">
        <v>1</v>
      </c>
      <c r="D11" s="81" t="s">
        <v>754</v>
      </c>
      <c r="L11" s="100"/>
      <c r="M11" s="100"/>
      <c r="N11" s="75"/>
      <c r="O11" s="75"/>
      <c r="P11" s="75"/>
      <c r="Q11" s="75"/>
      <c r="R11" s="75"/>
    </row>
    <row r="12" spans="1:19" ht="19.2" x14ac:dyDescent="0.45">
      <c r="A12" s="71" t="s">
        <v>762</v>
      </c>
      <c r="B12" s="82">
        <f>B8*B11/B7</f>
        <v>1.0979155112821253</v>
      </c>
      <c r="D12" s="63"/>
      <c r="L12" s="100"/>
      <c r="M12" s="100"/>
      <c r="N12" s="75"/>
      <c r="O12" s="75"/>
      <c r="P12" s="75"/>
      <c r="Q12" s="75"/>
      <c r="R12" s="75"/>
    </row>
    <row r="13" spans="1:19" ht="19.2" x14ac:dyDescent="0.45">
      <c r="L13" s="100"/>
      <c r="M13" s="100"/>
      <c r="N13" s="75"/>
      <c r="O13" s="75"/>
      <c r="P13" s="75"/>
      <c r="Q13" s="75"/>
      <c r="R13" s="75"/>
    </row>
    <row r="14" spans="1:19" ht="19.8" x14ac:dyDescent="0.45">
      <c r="A14" s="67" t="s">
        <v>739</v>
      </c>
      <c r="B14" s="81" t="s">
        <v>614</v>
      </c>
      <c r="C14" s="81" t="s">
        <v>745</v>
      </c>
      <c r="D14" s="81" t="s">
        <v>746</v>
      </c>
      <c r="E14" s="106" t="s">
        <v>600</v>
      </c>
      <c r="F14" s="106"/>
      <c r="G14" s="106" t="s">
        <v>763</v>
      </c>
      <c r="H14" s="106"/>
      <c r="I14" s="106" t="s">
        <v>764</v>
      </c>
      <c r="J14" s="106"/>
      <c r="L14" s="100"/>
      <c r="M14" s="100"/>
      <c r="N14" s="75"/>
      <c r="O14" s="75"/>
      <c r="P14" s="75"/>
      <c r="Q14" s="75"/>
      <c r="R14" s="75"/>
    </row>
    <row r="15" spans="1:19" ht="19.2" x14ac:dyDescent="0.45">
      <c r="A15" s="71" t="s">
        <v>740</v>
      </c>
      <c r="B15" s="72">
        <v>47779.637371115059</v>
      </c>
      <c r="C15" s="72">
        <v>59279.64</v>
      </c>
      <c r="D15" s="74"/>
      <c r="E15" s="105"/>
      <c r="F15" s="105"/>
      <c r="G15" s="105"/>
      <c r="H15" s="105"/>
      <c r="I15" s="105"/>
      <c r="J15" s="105"/>
      <c r="L15" s="100"/>
      <c r="M15" s="100"/>
      <c r="N15" s="75"/>
      <c r="O15" s="75"/>
      <c r="P15" s="75"/>
      <c r="Q15" s="75"/>
      <c r="R15" s="75"/>
    </row>
    <row r="16" spans="1:19" ht="19.2" x14ac:dyDescent="0.45">
      <c r="A16" s="71" t="s">
        <v>741</v>
      </c>
      <c r="B16" s="72">
        <v>58299.193670385255</v>
      </c>
      <c r="C16" s="72">
        <v>62212</v>
      </c>
      <c r="D16" s="74"/>
      <c r="E16" s="105"/>
      <c r="F16" s="105"/>
      <c r="G16" s="105"/>
      <c r="H16" s="105"/>
      <c r="I16" s="105"/>
      <c r="J16" s="105"/>
      <c r="L16" s="100"/>
      <c r="M16" s="100"/>
      <c r="N16" s="75"/>
      <c r="O16" s="75"/>
      <c r="P16" s="75"/>
      <c r="Q16" s="75"/>
      <c r="R16" s="75"/>
    </row>
    <row r="17" spans="1:29" ht="19.2" x14ac:dyDescent="0.45">
      <c r="A17" s="71" t="s">
        <v>742</v>
      </c>
      <c r="B17" s="72">
        <v>0</v>
      </c>
      <c r="C17" s="72">
        <v>0</v>
      </c>
      <c r="D17" s="74"/>
      <c r="E17" s="105"/>
      <c r="F17" s="105"/>
      <c r="G17" s="105"/>
      <c r="H17" s="105"/>
      <c r="I17" s="105"/>
      <c r="J17" s="105"/>
      <c r="L17" s="100"/>
      <c r="M17" s="100"/>
      <c r="N17" s="75"/>
      <c r="O17" s="75"/>
      <c r="P17" s="75"/>
      <c r="Q17" s="75"/>
      <c r="R17" s="75"/>
    </row>
    <row r="18" spans="1:29" ht="19.2" x14ac:dyDescent="0.45">
      <c r="A18" s="71" t="s">
        <v>743</v>
      </c>
      <c r="B18" s="72">
        <v>9189.6784477056353</v>
      </c>
      <c r="C18" s="72">
        <v>9189.68</v>
      </c>
      <c r="D18" s="74"/>
      <c r="E18" s="105"/>
      <c r="F18" s="105"/>
      <c r="G18" s="105"/>
      <c r="H18" s="105"/>
      <c r="I18" s="105"/>
      <c r="J18" s="105"/>
      <c r="L18" s="100"/>
      <c r="M18" s="100"/>
      <c r="N18" s="75"/>
      <c r="O18" s="75"/>
      <c r="P18" s="75"/>
      <c r="Q18" s="75"/>
      <c r="R18" s="75"/>
    </row>
    <row r="19" spans="1:29" ht="19.2" x14ac:dyDescent="0.45">
      <c r="A19" s="71" t="s">
        <v>744</v>
      </c>
      <c r="B19" s="72">
        <v>0.12089318415250408</v>
      </c>
      <c r="C19" s="72">
        <v>19</v>
      </c>
      <c r="D19" s="74"/>
      <c r="E19" s="105"/>
      <c r="F19" s="105"/>
      <c r="G19" s="105"/>
      <c r="H19" s="105"/>
      <c r="I19" s="105"/>
      <c r="J19" s="105"/>
      <c r="L19" s="100"/>
      <c r="M19" s="100"/>
      <c r="N19" s="75"/>
      <c r="O19" s="75"/>
      <c r="P19" s="75"/>
      <c r="Q19" s="75"/>
      <c r="R19" s="75"/>
    </row>
    <row r="20" spans="1:29" ht="19.2" x14ac:dyDescent="0.45">
      <c r="B20" s="83">
        <f>SUM(B15:B19)</f>
        <v>115268.63038239011</v>
      </c>
      <c r="C20" s="83">
        <f>SUM(C15:C19)</f>
        <v>130700.32</v>
      </c>
      <c r="D20" s="83">
        <f>SUM(D15:D19)</f>
        <v>0</v>
      </c>
    </row>
    <row r="21" spans="1:29" ht="13.95" customHeight="1" x14ac:dyDescent="0.3">
      <c r="A21" s="107" t="s">
        <v>770</v>
      </c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</row>
    <row r="22" spans="1:29" ht="13.95" customHeight="1" x14ac:dyDescent="0.3">
      <c r="A22" s="84"/>
      <c r="B22" s="84"/>
      <c r="C22" s="84"/>
      <c r="D22" s="84"/>
      <c r="E22" s="84"/>
      <c r="F22" s="84">
        <f t="shared" ref="F22:K22" si="0">SUBTOTAL(9, F$24:F$100)</f>
        <v>115268.6303823901</v>
      </c>
      <c r="G22" s="84">
        <f t="shared" si="0"/>
        <v>47779.637371115059</v>
      </c>
      <c r="H22" s="84">
        <f t="shared" si="0"/>
        <v>58299.193670385255</v>
      </c>
      <c r="I22" s="84">
        <f t="shared" si="0"/>
        <v>0</v>
      </c>
      <c r="J22" s="84">
        <f t="shared" si="0"/>
        <v>9189.6784477056353</v>
      </c>
      <c r="K22" s="84">
        <f t="shared" si="0"/>
        <v>0.12089318415250408</v>
      </c>
      <c r="L22" s="84"/>
      <c r="M22" s="84"/>
      <c r="N22" s="84"/>
      <c r="O22" s="84"/>
      <c r="P22" s="84"/>
      <c r="Q22" s="84"/>
      <c r="R22" s="84"/>
    </row>
    <row r="23" spans="1:29" ht="19.2" x14ac:dyDescent="0.3">
      <c r="A23" s="108" t="s">
        <v>880</v>
      </c>
      <c r="B23" s="108"/>
      <c r="C23" s="85" t="s">
        <v>2</v>
      </c>
      <c r="D23" s="85" t="s">
        <v>591</v>
      </c>
      <c r="E23" s="85" t="s">
        <v>3</v>
      </c>
      <c r="F23" s="85" t="s">
        <v>589</v>
      </c>
      <c r="G23" s="85" t="s">
        <v>872</v>
      </c>
      <c r="H23" s="85" t="s">
        <v>873</v>
      </c>
      <c r="I23" s="85" t="s">
        <v>874</v>
      </c>
      <c r="J23" s="85" t="s">
        <v>875</v>
      </c>
      <c r="K23" s="85" t="s">
        <v>876</v>
      </c>
      <c r="L23" s="109" t="s">
        <v>877</v>
      </c>
      <c r="M23" s="109"/>
      <c r="N23" s="109"/>
      <c r="O23" s="109"/>
      <c r="P23" s="109"/>
      <c r="Q23" s="109"/>
      <c r="R23" s="109"/>
      <c r="S23" s="68"/>
      <c r="T23" s="68"/>
      <c r="U23" s="68"/>
      <c r="V23" s="68"/>
      <c r="W23" s="68"/>
      <c r="X23" s="68"/>
      <c r="Y23" s="68"/>
      <c r="Z23" s="68"/>
      <c r="AA23" s="68"/>
      <c r="AB23" s="68"/>
      <c r="AC23" s="68"/>
    </row>
    <row r="24" spans="1:29" ht="19.2" x14ac:dyDescent="0.45">
      <c r="A24" s="110" t="s">
        <v>84</v>
      </c>
      <c r="B24" s="110"/>
      <c r="C24" s="86">
        <v>66.528811827334508</v>
      </c>
      <c r="D24" s="91" t="s">
        <v>65</v>
      </c>
      <c r="E24" s="87">
        <v>12.75</v>
      </c>
      <c r="F24" s="87">
        <v>848.24235079851496</v>
      </c>
      <c r="G24" s="87">
        <v>316.0118561798389</v>
      </c>
      <c r="H24" s="87">
        <v>532.23049461867606</v>
      </c>
      <c r="I24" s="87"/>
      <c r="J24" s="87"/>
      <c r="K24" s="87"/>
      <c r="L24" s="105"/>
      <c r="M24" s="105"/>
      <c r="N24" s="105"/>
      <c r="O24" s="105"/>
      <c r="P24" s="105"/>
      <c r="Q24" s="105"/>
      <c r="R24" s="105"/>
      <c r="S24" s="68"/>
      <c r="T24" s="68"/>
      <c r="U24" s="68"/>
      <c r="V24" s="68"/>
      <c r="W24" s="68"/>
      <c r="X24" s="68"/>
      <c r="Y24" s="68"/>
      <c r="Z24" s="68"/>
      <c r="AA24" s="68"/>
      <c r="AB24" s="68"/>
      <c r="AC24" s="68"/>
    </row>
    <row r="25" spans="1:29" ht="19.2" x14ac:dyDescent="0.45">
      <c r="A25" s="111" t="s">
        <v>85</v>
      </c>
      <c r="B25" s="111"/>
      <c r="C25" s="88">
        <v>260.31000000000012</v>
      </c>
      <c r="D25" s="92" t="s">
        <v>47</v>
      </c>
      <c r="E25" s="89">
        <v>30.179999999999996</v>
      </c>
      <c r="F25" s="89">
        <v>7856.1558000000023</v>
      </c>
      <c r="G25" s="89">
        <v>7023.1638000000021</v>
      </c>
      <c r="H25" s="89"/>
      <c r="I25" s="89"/>
      <c r="J25" s="89">
        <v>832.99200000000042</v>
      </c>
      <c r="K25" s="89"/>
      <c r="L25" s="105"/>
      <c r="M25" s="105"/>
      <c r="N25" s="105"/>
      <c r="O25" s="105"/>
      <c r="P25" s="105"/>
      <c r="Q25" s="105"/>
      <c r="R25" s="105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</row>
    <row r="26" spans="1:29" ht="19.2" x14ac:dyDescent="0.45">
      <c r="A26" s="110" t="s">
        <v>86</v>
      </c>
      <c r="B26" s="110"/>
      <c r="C26" s="86">
        <v>9565.7389999999996</v>
      </c>
      <c r="D26" s="91" t="s">
        <v>87</v>
      </c>
      <c r="E26" s="87">
        <v>1.6164000000000001</v>
      </c>
      <c r="F26" s="87">
        <v>15462.060519599998</v>
      </c>
      <c r="G26" s="87">
        <v>8000.7840995999986</v>
      </c>
      <c r="H26" s="87">
        <v>7461.2764199999992</v>
      </c>
      <c r="I26" s="87"/>
      <c r="J26" s="87"/>
      <c r="K26" s="87"/>
      <c r="L26" s="105"/>
      <c r="M26" s="105"/>
      <c r="N26" s="105"/>
      <c r="O26" s="105"/>
      <c r="P26" s="105"/>
      <c r="Q26" s="105"/>
      <c r="R26" s="105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</row>
    <row r="27" spans="1:29" ht="19.2" x14ac:dyDescent="0.45">
      <c r="A27" s="111" t="s">
        <v>88</v>
      </c>
      <c r="B27" s="111"/>
      <c r="C27" s="88">
        <v>191.08449999999999</v>
      </c>
      <c r="D27" s="92" t="s">
        <v>39</v>
      </c>
      <c r="E27" s="89">
        <v>138.72</v>
      </c>
      <c r="F27" s="89">
        <v>26507.241839999999</v>
      </c>
      <c r="G27" s="89">
        <v>2831.8722899999998</v>
      </c>
      <c r="H27" s="89">
        <v>23675.369549999999</v>
      </c>
      <c r="I27" s="89"/>
      <c r="J27" s="89"/>
      <c r="K27" s="89"/>
      <c r="L27" s="105"/>
      <c r="M27" s="105"/>
      <c r="N27" s="105"/>
      <c r="O27" s="105"/>
      <c r="P27" s="105"/>
      <c r="Q27" s="105"/>
      <c r="R27" s="105"/>
      <c r="S27" s="68"/>
      <c r="T27" s="68"/>
      <c r="U27" s="68"/>
      <c r="V27" s="68"/>
      <c r="W27" s="68"/>
      <c r="X27" s="68"/>
      <c r="Y27" s="68"/>
      <c r="Z27" s="68"/>
      <c r="AA27" s="68"/>
      <c r="AB27" s="68"/>
      <c r="AC27" s="68"/>
    </row>
    <row r="28" spans="1:29" ht="19.2" x14ac:dyDescent="0.45">
      <c r="A28" s="110" t="s">
        <v>89</v>
      </c>
      <c r="B28" s="110"/>
      <c r="C28" s="86">
        <v>3</v>
      </c>
      <c r="D28" s="91" t="s">
        <v>45</v>
      </c>
      <c r="E28" s="87">
        <v>12.600000000000001</v>
      </c>
      <c r="F28" s="87">
        <v>37.799999999999997</v>
      </c>
      <c r="G28" s="87">
        <v>22.8</v>
      </c>
      <c r="H28" s="87">
        <v>15</v>
      </c>
      <c r="I28" s="87"/>
      <c r="J28" s="87"/>
      <c r="K28" s="87"/>
      <c r="L28" s="105"/>
      <c r="M28" s="105"/>
      <c r="N28" s="105"/>
      <c r="O28" s="105"/>
      <c r="P28" s="105"/>
      <c r="Q28" s="105"/>
      <c r="R28" s="105"/>
      <c r="S28" s="68"/>
      <c r="T28" s="68"/>
      <c r="U28" s="68"/>
      <c r="V28" s="68"/>
      <c r="W28" s="68"/>
      <c r="X28" s="68"/>
      <c r="Y28" s="68"/>
      <c r="Z28" s="68"/>
      <c r="AA28" s="68"/>
      <c r="AB28" s="68"/>
      <c r="AC28" s="68"/>
    </row>
    <row r="29" spans="1:29" ht="19.2" x14ac:dyDescent="0.45">
      <c r="A29" s="111" t="s">
        <v>90</v>
      </c>
      <c r="B29" s="111"/>
      <c r="C29" s="88">
        <v>2.8</v>
      </c>
      <c r="D29" s="92" t="s">
        <v>47</v>
      </c>
      <c r="E29" s="89">
        <v>29.379999999999995</v>
      </c>
      <c r="F29" s="89">
        <v>82.263999999999982</v>
      </c>
      <c r="G29" s="89">
        <v>75.543999999999983</v>
      </c>
      <c r="H29" s="89"/>
      <c r="I29" s="89"/>
      <c r="J29" s="89">
        <v>6.7200000000000006</v>
      </c>
      <c r="K29" s="89"/>
      <c r="L29" s="105"/>
      <c r="M29" s="105"/>
      <c r="N29" s="105"/>
      <c r="O29" s="105"/>
      <c r="P29" s="105"/>
      <c r="Q29" s="105"/>
      <c r="R29" s="105"/>
      <c r="S29" s="68"/>
      <c r="T29" s="68"/>
      <c r="U29" s="68"/>
      <c r="V29" s="68"/>
      <c r="W29" s="68"/>
      <c r="X29" s="68"/>
      <c r="Y29" s="68"/>
      <c r="Z29" s="68"/>
      <c r="AA29" s="68"/>
      <c r="AB29" s="68"/>
      <c r="AC29" s="68"/>
    </row>
    <row r="30" spans="1:29" ht="19.2" x14ac:dyDescent="0.45">
      <c r="A30" s="110" t="s">
        <v>91</v>
      </c>
      <c r="B30" s="110"/>
      <c r="C30" s="86">
        <v>35</v>
      </c>
      <c r="D30" s="91" t="s">
        <v>87</v>
      </c>
      <c r="E30" s="87">
        <v>1.6164000000000001</v>
      </c>
      <c r="F30" s="87">
        <v>56.573999999999998</v>
      </c>
      <c r="G30" s="87">
        <v>29.273999999999997</v>
      </c>
      <c r="H30" s="87">
        <v>27.3</v>
      </c>
      <c r="I30" s="87"/>
      <c r="J30" s="87"/>
      <c r="K30" s="87"/>
      <c r="L30" s="105"/>
      <c r="M30" s="105"/>
      <c r="N30" s="105"/>
      <c r="O30" s="105"/>
      <c r="P30" s="105"/>
      <c r="Q30" s="105"/>
      <c r="R30" s="105"/>
      <c r="S30" s="68"/>
      <c r="T30" s="68"/>
      <c r="U30" s="68"/>
      <c r="V30" s="68"/>
      <c r="W30" s="68"/>
      <c r="X30" s="68"/>
      <c r="Y30" s="68"/>
      <c r="Z30" s="68"/>
      <c r="AA30" s="68"/>
      <c r="AB30" s="68"/>
      <c r="AC30" s="68"/>
    </row>
    <row r="31" spans="1:29" ht="19.2" x14ac:dyDescent="0.45">
      <c r="A31" s="111" t="s">
        <v>92</v>
      </c>
      <c r="B31" s="111"/>
      <c r="C31" s="88">
        <v>3</v>
      </c>
      <c r="D31" s="92" t="s">
        <v>45</v>
      </c>
      <c r="E31" s="89">
        <v>12.600000000000001</v>
      </c>
      <c r="F31" s="89">
        <v>37.799999999999997</v>
      </c>
      <c r="G31" s="89">
        <v>22.8</v>
      </c>
      <c r="H31" s="89">
        <v>15</v>
      </c>
      <c r="I31" s="89"/>
      <c r="J31" s="89"/>
      <c r="K31" s="89"/>
      <c r="L31" s="105"/>
      <c r="M31" s="105"/>
      <c r="N31" s="105"/>
      <c r="O31" s="105"/>
      <c r="P31" s="105"/>
      <c r="Q31" s="105"/>
      <c r="R31" s="105"/>
      <c r="S31" s="68"/>
      <c r="T31" s="68"/>
      <c r="U31" s="68"/>
      <c r="V31" s="68"/>
      <c r="W31" s="68"/>
      <c r="X31" s="68"/>
      <c r="Y31" s="68"/>
      <c r="Z31" s="68"/>
      <c r="AA31" s="68"/>
      <c r="AB31" s="68"/>
      <c r="AC31" s="68"/>
    </row>
    <row r="32" spans="1:29" ht="19.2" x14ac:dyDescent="0.45">
      <c r="A32" s="110" t="s">
        <v>93</v>
      </c>
      <c r="B32" s="110"/>
      <c r="C32" s="86">
        <v>0.7</v>
      </c>
      <c r="D32" s="91" t="s">
        <v>39</v>
      </c>
      <c r="E32" s="87">
        <v>138.72</v>
      </c>
      <c r="F32" s="87">
        <v>97.103999999999999</v>
      </c>
      <c r="G32" s="87">
        <v>10.373999999999999</v>
      </c>
      <c r="H32" s="87">
        <v>86.73</v>
      </c>
      <c r="I32" s="87"/>
      <c r="J32" s="87"/>
      <c r="K32" s="87"/>
      <c r="L32" s="105"/>
      <c r="M32" s="105"/>
      <c r="N32" s="105"/>
      <c r="O32" s="105"/>
      <c r="P32" s="105"/>
      <c r="Q32" s="105"/>
      <c r="R32" s="105"/>
      <c r="S32" s="68"/>
      <c r="T32" s="68"/>
      <c r="U32" s="68"/>
      <c r="V32" s="68"/>
      <c r="W32" s="68"/>
      <c r="X32" s="68"/>
      <c r="Y32" s="68"/>
      <c r="Z32" s="68"/>
      <c r="AA32" s="68"/>
      <c r="AB32" s="68"/>
      <c r="AC32" s="68"/>
    </row>
    <row r="33" spans="1:29" ht="19.2" x14ac:dyDescent="0.45">
      <c r="A33" s="111" t="s">
        <v>94</v>
      </c>
      <c r="B33" s="111"/>
      <c r="C33" s="88">
        <v>1</v>
      </c>
      <c r="D33" s="92" t="s">
        <v>47</v>
      </c>
      <c r="E33" s="89">
        <v>12.100000000000001</v>
      </c>
      <c r="F33" s="89">
        <v>12.100000000000001</v>
      </c>
      <c r="G33" s="89">
        <v>5.7</v>
      </c>
      <c r="H33" s="89">
        <v>6.4</v>
      </c>
      <c r="I33" s="89"/>
      <c r="J33" s="89"/>
      <c r="K33" s="89"/>
      <c r="L33" s="105"/>
      <c r="M33" s="105"/>
      <c r="N33" s="105"/>
      <c r="O33" s="105"/>
      <c r="P33" s="105"/>
      <c r="Q33" s="105"/>
      <c r="R33" s="105"/>
      <c r="S33" s="68"/>
      <c r="T33" s="68"/>
      <c r="U33" s="68"/>
      <c r="V33" s="68"/>
      <c r="W33" s="68"/>
      <c r="X33" s="68"/>
      <c r="Y33" s="68"/>
      <c r="Z33" s="68"/>
      <c r="AA33" s="68"/>
      <c r="AB33" s="68"/>
      <c r="AC33" s="68"/>
    </row>
    <row r="34" spans="1:29" ht="19.2" x14ac:dyDescent="0.45">
      <c r="A34" s="110" t="s">
        <v>95</v>
      </c>
      <c r="B34" s="110"/>
      <c r="C34" s="86">
        <v>2.8</v>
      </c>
      <c r="D34" s="91" t="s">
        <v>47</v>
      </c>
      <c r="E34" s="87">
        <v>12.878</v>
      </c>
      <c r="F34" s="87">
        <v>36.058399999999992</v>
      </c>
      <c r="G34" s="87">
        <v>17.768799999999999</v>
      </c>
      <c r="H34" s="87">
        <v>18.289599999999997</v>
      </c>
      <c r="I34" s="87"/>
      <c r="J34" s="87"/>
      <c r="K34" s="87"/>
      <c r="L34" s="105"/>
      <c r="M34" s="105"/>
      <c r="N34" s="105"/>
      <c r="O34" s="105"/>
      <c r="P34" s="105"/>
      <c r="Q34" s="105"/>
      <c r="R34" s="105"/>
      <c r="S34" s="68"/>
      <c r="T34" s="68"/>
      <c r="U34" s="68"/>
      <c r="V34" s="68"/>
      <c r="W34" s="68"/>
      <c r="X34" s="68"/>
      <c r="Y34" s="68"/>
      <c r="Z34" s="68"/>
      <c r="AA34" s="68"/>
      <c r="AB34" s="68"/>
      <c r="AC34" s="68"/>
    </row>
    <row r="35" spans="1:29" ht="19.2" x14ac:dyDescent="0.45">
      <c r="A35" s="111" t="s">
        <v>96</v>
      </c>
      <c r="B35" s="111"/>
      <c r="C35" s="88">
        <v>1</v>
      </c>
      <c r="D35" s="92" t="s">
        <v>47</v>
      </c>
      <c r="E35" s="89">
        <v>12.878</v>
      </c>
      <c r="F35" s="89">
        <v>12.878</v>
      </c>
      <c r="G35" s="89">
        <v>6.3460000000000001</v>
      </c>
      <c r="H35" s="89">
        <v>6.532</v>
      </c>
      <c r="I35" s="89"/>
      <c r="J35" s="89"/>
      <c r="K35" s="89"/>
      <c r="L35" s="105"/>
      <c r="M35" s="105"/>
      <c r="N35" s="105"/>
      <c r="O35" s="105"/>
      <c r="P35" s="105"/>
      <c r="Q35" s="105"/>
      <c r="R35" s="105"/>
      <c r="S35" s="68"/>
      <c r="T35" s="68"/>
      <c r="U35" s="68"/>
      <c r="V35" s="68"/>
      <c r="W35" s="68"/>
      <c r="X35" s="68"/>
      <c r="Y35" s="68"/>
      <c r="Z35" s="68"/>
      <c r="AA35" s="68"/>
      <c r="AB35" s="68"/>
      <c r="AC35" s="68"/>
    </row>
    <row r="36" spans="1:29" ht="19.2" x14ac:dyDescent="0.45">
      <c r="A36" s="110" t="s">
        <v>97</v>
      </c>
      <c r="B36" s="110"/>
      <c r="C36" s="86">
        <v>3</v>
      </c>
      <c r="D36" s="91" t="s">
        <v>45</v>
      </c>
      <c r="E36" s="87">
        <v>26.56</v>
      </c>
      <c r="F36" s="87">
        <v>79.680000000000007</v>
      </c>
      <c r="G36" s="87">
        <v>13.68</v>
      </c>
      <c r="H36" s="87">
        <v>66</v>
      </c>
      <c r="I36" s="87"/>
      <c r="J36" s="87"/>
      <c r="K36" s="87"/>
      <c r="L36" s="105"/>
      <c r="M36" s="105"/>
      <c r="N36" s="105"/>
      <c r="O36" s="105"/>
      <c r="P36" s="105"/>
      <c r="Q36" s="105"/>
      <c r="R36" s="105"/>
      <c r="S36" s="68"/>
      <c r="T36" s="68"/>
      <c r="U36" s="68"/>
      <c r="V36" s="68"/>
      <c r="W36" s="68"/>
      <c r="X36" s="68"/>
      <c r="Y36" s="68"/>
      <c r="Z36" s="68"/>
      <c r="AA36" s="68"/>
      <c r="AB36" s="68"/>
      <c r="AC36" s="68"/>
    </row>
    <row r="37" spans="1:29" ht="19.2" x14ac:dyDescent="0.45">
      <c r="A37" s="111" t="s">
        <v>97</v>
      </c>
      <c r="B37" s="111"/>
      <c r="C37" s="88">
        <v>1</v>
      </c>
      <c r="D37" s="92" t="s">
        <v>45</v>
      </c>
      <c r="E37" s="89">
        <v>37.56</v>
      </c>
      <c r="F37" s="89">
        <v>37.56</v>
      </c>
      <c r="G37" s="89">
        <v>4.5599999999999996</v>
      </c>
      <c r="H37" s="89">
        <v>33</v>
      </c>
      <c r="I37" s="89"/>
      <c r="J37" s="89"/>
      <c r="K37" s="89"/>
      <c r="L37" s="105"/>
      <c r="M37" s="105"/>
      <c r="N37" s="105"/>
      <c r="O37" s="105"/>
      <c r="P37" s="105"/>
      <c r="Q37" s="105"/>
      <c r="R37" s="105"/>
      <c r="S37" s="68"/>
      <c r="T37" s="68"/>
      <c r="U37" s="68"/>
      <c r="V37" s="68"/>
      <c r="W37" s="68"/>
      <c r="X37" s="68"/>
      <c r="Y37" s="68"/>
      <c r="Z37" s="68"/>
      <c r="AA37" s="68"/>
      <c r="AB37" s="68"/>
      <c r="AC37" s="68"/>
    </row>
    <row r="38" spans="1:29" ht="19.2" x14ac:dyDescent="0.45">
      <c r="A38" s="110" t="s">
        <v>97</v>
      </c>
      <c r="B38" s="110"/>
      <c r="C38" s="86">
        <v>51</v>
      </c>
      <c r="D38" s="91" t="s">
        <v>45</v>
      </c>
      <c r="E38" s="87">
        <v>26.56</v>
      </c>
      <c r="F38" s="87">
        <v>1354.56</v>
      </c>
      <c r="G38" s="87">
        <v>232.55999999999997</v>
      </c>
      <c r="H38" s="87">
        <v>1122</v>
      </c>
      <c r="I38" s="87"/>
      <c r="J38" s="87"/>
      <c r="K38" s="87"/>
      <c r="L38" s="105"/>
      <c r="M38" s="105"/>
      <c r="N38" s="105"/>
      <c r="O38" s="105"/>
      <c r="P38" s="105"/>
      <c r="Q38" s="105"/>
      <c r="R38" s="105"/>
      <c r="S38" s="68"/>
      <c r="T38" s="68"/>
      <c r="U38" s="68"/>
      <c r="V38" s="68"/>
      <c r="W38" s="68"/>
      <c r="X38" s="68"/>
      <c r="Y38" s="68"/>
      <c r="Z38" s="68"/>
      <c r="AA38" s="68"/>
      <c r="AB38" s="68"/>
      <c r="AC38" s="68"/>
    </row>
    <row r="39" spans="1:29" ht="19.2" x14ac:dyDescent="0.45">
      <c r="A39" s="111" t="s">
        <v>98</v>
      </c>
      <c r="B39" s="111"/>
      <c r="C39" s="88">
        <v>6.6601428104735181</v>
      </c>
      <c r="D39" s="92" t="s">
        <v>65</v>
      </c>
      <c r="E39" s="89">
        <v>1.8151740524601289E-2</v>
      </c>
      <c r="F39" s="89">
        <v>0.12089318415250408</v>
      </c>
      <c r="G39" s="89"/>
      <c r="H39" s="89"/>
      <c r="I39" s="89"/>
      <c r="J39" s="89"/>
      <c r="K39" s="89">
        <v>0.12089318415250408</v>
      </c>
      <c r="L39" s="105"/>
      <c r="M39" s="105"/>
      <c r="N39" s="105"/>
      <c r="O39" s="105"/>
      <c r="P39" s="105"/>
      <c r="Q39" s="105"/>
      <c r="R39" s="105"/>
      <c r="S39" s="68"/>
      <c r="T39" s="68"/>
      <c r="U39" s="68"/>
      <c r="V39" s="68"/>
      <c r="W39" s="68"/>
      <c r="X39" s="68"/>
      <c r="Y39" s="68"/>
      <c r="Z39" s="68"/>
      <c r="AA39" s="68"/>
      <c r="AB39" s="68"/>
      <c r="AC39" s="68"/>
    </row>
    <row r="40" spans="1:29" ht="19.2" x14ac:dyDescent="0.45">
      <c r="A40" s="110" t="s">
        <v>99</v>
      </c>
      <c r="B40" s="110"/>
      <c r="C40" s="86">
        <v>13.32028562094704</v>
      </c>
      <c r="D40" s="91" t="s">
        <v>47</v>
      </c>
      <c r="E40" s="87">
        <v>25.6</v>
      </c>
      <c r="F40" s="87">
        <v>340.99931189624419</v>
      </c>
      <c r="G40" s="87">
        <v>253.08542679799376</v>
      </c>
      <c r="H40" s="87"/>
      <c r="I40" s="87"/>
      <c r="J40" s="87">
        <v>87.913885098250461</v>
      </c>
      <c r="K40" s="87"/>
      <c r="L40" s="105"/>
      <c r="M40" s="105"/>
      <c r="N40" s="105"/>
      <c r="O40" s="105"/>
      <c r="P40" s="105"/>
      <c r="Q40" s="105"/>
      <c r="R40" s="105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</row>
    <row r="41" spans="1:29" ht="19.2" x14ac:dyDescent="0.45">
      <c r="A41" s="111" t="s">
        <v>100</v>
      </c>
      <c r="B41" s="111"/>
      <c r="C41" s="88">
        <v>176.41386276382261</v>
      </c>
      <c r="D41" s="92" t="s">
        <v>87</v>
      </c>
      <c r="E41" s="89">
        <v>1.6164000000000001</v>
      </c>
      <c r="F41" s="89">
        <v>285.15536777144285</v>
      </c>
      <c r="G41" s="89">
        <v>147.55255481566121</v>
      </c>
      <c r="H41" s="89">
        <v>137.60281295578164</v>
      </c>
      <c r="I41" s="89"/>
      <c r="J41" s="89"/>
      <c r="K41" s="89"/>
      <c r="L41" s="105"/>
      <c r="M41" s="105"/>
      <c r="N41" s="105"/>
      <c r="O41" s="105"/>
      <c r="P41" s="105"/>
      <c r="Q41" s="105"/>
      <c r="R41" s="105"/>
      <c r="S41" s="68"/>
      <c r="T41" s="68"/>
      <c r="U41" s="68"/>
      <c r="V41" s="68"/>
      <c r="W41" s="68"/>
      <c r="X41" s="68"/>
      <c r="Y41" s="68"/>
      <c r="Z41" s="68"/>
      <c r="AA41" s="68"/>
      <c r="AB41" s="68"/>
      <c r="AC41" s="68"/>
    </row>
    <row r="42" spans="1:29" ht="19.2" x14ac:dyDescent="0.45">
      <c r="A42" s="110" t="s">
        <v>101</v>
      </c>
      <c r="B42" s="110"/>
      <c r="C42" s="86">
        <v>3.7296799738651711</v>
      </c>
      <c r="D42" s="91" t="s">
        <v>39</v>
      </c>
      <c r="E42" s="87">
        <v>159.72</v>
      </c>
      <c r="F42" s="87">
        <v>595.70448542574513</v>
      </c>
      <c r="G42" s="87">
        <v>55.27385721268184</v>
      </c>
      <c r="H42" s="87">
        <v>540.4306282130633</v>
      </c>
      <c r="I42" s="87"/>
      <c r="J42" s="87"/>
      <c r="K42" s="87"/>
      <c r="L42" s="105"/>
      <c r="M42" s="105"/>
      <c r="N42" s="105"/>
      <c r="O42" s="105"/>
      <c r="P42" s="105"/>
      <c r="Q42" s="105"/>
      <c r="R42" s="105"/>
      <c r="S42" s="68"/>
      <c r="T42" s="68"/>
      <c r="U42" s="68"/>
      <c r="V42" s="68"/>
      <c r="W42" s="68"/>
      <c r="X42" s="68"/>
      <c r="Y42" s="68"/>
      <c r="Z42" s="68"/>
      <c r="AA42" s="68"/>
      <c r="AB42" s="68"/>
      <c r="AC42" s="68"/>
    </row>
    <row r="43" spans="1:29" ht="19.2" x14ac:dyDescent="0.45">
      <c r="A43" s="111" t="s">
        <v>102</v>
      </c>
      <c r="B43" s="111"/>
      <c r="C43" s="88">
        <v>113.1323448705339</v>
      </c>
      <c r="D43" s="92" t="s">
        <v>39</v>
      </c>
      <c r="E43" s="89">
        <v>138.72</v>
      </c>
      <c r="F43" s="89">
        <v>15693.718880440461</v>
      </c>
      <c r="G43" s="89">
        <v>1676.6213509813124</v>
      </c>
      <c r="H43" s="89">
        <v>14017.09752945915</v>
      </c>
      <c r="I43" s="89"/>
      <c r="J43" s="89"/>
      <c r="K43" s="89"/>
      <c r="L43" s="105"/>
      <c r="M43" s="105"/>
      <c r="N43" s="105"/>
      <c r="O43" s="105"/>
      <c r="P43" s="105"/>
      <c r="Q43" s="105"/>
      <c r="R43" s="105"/>
      <c r="S43" s="68"/>
      <c r="T43" s="68"/>
      <c r="U43" s="68"/>
      <c r="V43" s="68"/>
      <c r="W43" s="68"/>
      <c r="X43" s="68"/>
      <c r="Y43" s="68"/>
      <c r="Z43" s="68"/>
      <c r="AA43" s="68"/>
      <c r="AB43" s="68"/>
      <c r="AC43" s="68"/>
    </row>
    <row r="44" spans="1:29" ht="19.2" x14ac:dyDescent="0.45">
      <c r="A44" s="110" t="s">
        <v>103</v>
      </c>
      <c r="B44" s="110"/>
      <c r="C44" s="86">
        <v>9583.0741117944217</v>
      </c>
      <c r="D44" s="91" t="s">
        <v>87</v>
      </c>
      <c r="E44" s="87">
        <v>1.6164000000000001</v>
      </c>
      <c r="F44" s="87">
        <v>15490.080994304502</v>
      </c>
      <c r="G44" s="87">
        <v>8015.2831871048538</v>
      </c>
      <c r="H44" s="87">
        <v>7474.7978071996486</v>
      </c>
      <c r="I44" s="87"/>
      <c r="J44" s="87"/>
      <c r="K44" s="87"/>
      <c r="L44" s="105"/>
      <c r="M44" s="105"/>
      <c r="N44" s="105"/>
      <c r="O44" s="105"/>
      <c r="P44" s="105"/>
      <c r="Q44" s="105"/>
      <c r="R44" s="105"/>
      <c r="S44" s="68"/>
      <c r="T44" s="68"/>
      <c r="U44" s="68"/>
      <c r="V44" s="68"/>
      <c r="W44" s="68"/>
      <c r="X44" s="68"/>
      <c r="Y44" s="68"/>
      <c r="Z44" s="68"/>
      <c r="AA44" s="68"/>
      <c r="AB44" s="68"/>
      <c r="AC44" s="68"/>
    </row>
    <row r="45" spans="1:29" ht="19.2" x14ac:dyDescent="0.45">
      <c r="A45" s="111" t="s">
        <v>104</v>
      </c>
      <c r="B45" s="111"/>
      <c r="C45" s="88">
        <v>943.59192628118876</v>
      </c>
      <c r="D45" s="92" t="s">
        <v>47</v>
      </c>
      <c r="E45" s="89">
        <v>27.755959363884287</v>
      </c>
      <c r="F45" s="89">
        <v>26190.299161949973</v>
      </c>
      <c r="G45" s="89">
        <v>17928.246599342587</v>
      </c>
      <c r="H45" s="89"/>
      <c r="I45" s="89"/>
      <c r="J45" s="89">
        <v>8262.052562607385</v>
      </c>
      <c r="K45" s="89"/>
      <c r="L45" s="105"/>
      <c r="M45" s="105"/>
      <c r="N45" s="105"/>
      <c r="O45" s="105"/>
      <c r="P45" s="105"/>
      <c r="Q45" s="105"/>
      <c r="R45" s="105"/>
      <c r="S45" s="68"/>
      <c r="T45" s="68"/>
      <c r="U45" s="68"/>
      <c r="V45" s="68"/>
      <c r="W45" s="68"/>
      <c r="X45" s="68"/>
      <c r="Y45" s="68"/>
      <c r="Z45" s="68"/>
      <c r="AA45" s="68"/>
      <c r="AB45" s="68"/>
      <c r="AC45" s="68"/>
    </row>
    <row r="46" spans="1:29" ht="19.2" x14ac:dyDescent="0.45">
      <c r="A46" s="110" t="s">
        <v>105</v>
      </c>
      <c r="B46" s="110"/>
      <c r="C46" s="86">
        <v>199.50815552229091</v>
      </c>
      <c r="D46" s="91" t="s">
        <v>47</v>
      </c>
      <c r="E46" s="87">
        <v>19.701518155631902</v>
      </c>
      <c r="F46" s="87">
        <v>3930.6135482190471</v>
      </c>
      <c r="G46" s="87">
        <v>985.5702882801171</v>
      </c>
      <c r="H46" s="87">
        <v>2945.0432599389301</v>
      </c>
      <c r="I46" s="87"/>
      <c r="J46" s="87"/>
      <c r="K46" s="87"/>
      <c r="L46" s="105"/>
      <c r="M46" s="105"/>
      <c r="N46" s="105"/>
      <c r="O46" s="105"/>
      <c r="P46" s="105"/>
      <c r="Q46" s="105"/>
      <c r="R46" s="105"/>
      <c r="S46" s="68"/>
      <c r="T46" s="68"/>
      <c r="U46" s="68"/>
      <c r="V46" s="68"/>
      <c r="W46" s="68"/>
      <c r="X46" s="68"/>
      <c r="Y46" s="68"/>
      <c r="Z46" s="68"/>
      <c r="AA46" s="68"/>
      <c r="AB46" s="68"/>
      <c r="AC46" s="68"/>
    </row>
    <row r="47" spans="1:29" ht="19.2" x14ac:dyDescent="0.45">
      <c r="A47" s="111" t="s">
        <v>106</v>
      </c>
      <c r="B47" s="111"/>
      <c r="C47" s="88">
        <v>3.2639999999999998</v>
      </c>
      <c r="D47" s="92" t="s">
        <v>47</v>
      </c>
      <c r="E47" s="89">
        <v>41.829000000000001</v>
      </c>
      <c r="F47" s="89">
        <v>136.529856</v>
      </c>
      <c r="G47" s="89">
        <v>81.240960000000001</v>
      </c>
      <c r="H47" s="89">
        <v>55.288896000000008</v>
      </c>
      <c r="I47" s="89"/>
      <c r="J47" s="89"/>
      <c r="K47" s="89"/>
      <c r="L47" s="105"/>
      <c r="M47" s="105"/>
      <c r="N47" s="105"/>
      <c r="O47" s="105"/>
      <c r="P47" s="105"/>
      <c r="Q47" s="105"/>
      <c r="R47" s="105"/>
      <c r="S47" s="68"/>
      <c r="T47" s="68"/>
      <c r="U47" s="68"/>
      <c r="V47" s="68"/>
      <c r="W47" s="68"/>
      <c r="X47" s="68"/>
      <c r="Y47" s="68"/>
      <c r="Z47" s="68"/>
      <c r="AA47" s="68"/>
      <c r="AB47" s="68"/>
      <c r="AC47" s="68"/>
    </row>
    <row r="48" spans="1:29" ht="19.2" x14ac:dyDescent="0.45">
      <c r="A48" s="110" t="s">
        <v>107</v>
      </c>
      <c r="B48" s="110"/>
      <c r="C48" s="86">
        <v>19.584</v>
      </c>
      <c r="D48" s="91" t="s">
        <v>87</v>
      </c>
      <c r="E48" s="87">
        <v>1.6164000000000001</v>
      </c>
      <c r="F48" s="87">
        <v>31.655577599999997</v>
      </c>
      <c r="G48" s="87">
        <v>16.380057599999997</v>
      </c>
      <c r="H48" s="87">
        <v>15.27552</v>
      </c>
      <c r="I48" s="87"/>
      <c r="J48" s="87"/>
      <c r="K48" s="87"/>
      <c r="L48" s="105"/>
      <c r="M48" s="105"/>
      <c r="N48" s="105"/>
      <c r="O48" s="105"/>
      <c r="P48" s="105"/>
      <c r="Q48" s="105"/>
      <c r="R48" s="105"/>
      <c r="S48" s="68"/>
      <c r="T48" s="68"/>
      <c r="U48" s="68"/>
      <c r="V48" s="68"/>
      <c r="W48" s="68"/>
      <c r="X48" s="68"/>
      <c r="Y48" s="68"/>
      <c r="Z48" s="68"/>
      <c r="AA48" s="68"/>
      <c r="AB48" s="68"/>
      <c r="AC48" s="68"/>
    </row>
    <row r="49" spans="1:29" ht="19.2" x14ac:dyDescent="0.45">
      <c r="A49" s="111" t="s">
        <v>108</v>
      </c>
      <c r="B49" s="111"/>
      <c r="C49" s="88">
        <v>0.39167999999999997</v>
      </c>
      <c r="D49" s="92" t="s">
        <v>39</v>
      </c>
      <c r="E49" s="89">
        <v>142.14000000000001</v>
      </c>
      <c r="F49" s="89">
        <v>55.673395199999995</v>
      </c>
      <c r="G49" s="89">
        <v>7.1442431999999991</v>
      </c>
      <c r="H49" s="89">
        <v>48.529151999999996</v>
      </c>
      <c r="I49" s="89"/>
      <c r="J49" s="89"/>
      <c r="K49" s="89"/>
      <c r="L49" s="105"/>
      <c r="M49" s="105"/>
      <c r="N49" s="105"/>
      <c r="O49" s="105"/>
      <c r="P49" s="105"/>
      <c r="Q49" s="105"/>
      <c r="R49" s="105"/>
      <c r="S49" s="68"/>
      <c r="T49" s="68"/>
      <c r="U49" s="68"/>
      <c r="V49" s="68"/>
      <c r="W49" s="68"/>
      <c r="X49" s="68"/>
      <c r="Y49" s="68"/>
      <c r="Z49" s="68"/>
      <c r="AA49" s="68"/>
      <c r="AB49" s="68"/>
      <c r="AC49" s="68"/>
    </row>
    <row r="50" spans="1:29" ht="19.2" x14ac:dyDescent="0.45">
      <c r="A50" s="91"/>
      <c r="B50" s="91"/>
      <c r="C50" s="86"/>
      <c r="D50" s="91"/>
      <c r="E50" s="87"/>
      <c r="F50" s="87"/>
      <c r="G50" s="87"/>
      <c r="H50" s="87"/>
      <c r="I50" s="87"/>
      <c r="J50" s="87"/>
      <c r="K50" s="87"/>
      <c r="L50" s="105"/>
      <c r="M50" s="105"/>
      <c r="N50" s="105"/>
      <c r="O50" s="105"/>
      <c r="P50" s="105"/>
      <c r="Q50" s="105"/>
      <c r="R50" s="105"/>
      <c r="S50" s="68"/>
      <c r="T50" s="68"/>
      <c r="U50" s="68"/>
      <c r="V50" s="68"/>
      <c r="W50" s="68"/>
      <c r="X50" s="68"/>
      <c r="Y50" s="68"/>
      <c r="Z50" s="68"/>
      <c r="AA50" s="68"/>
      <c r="AB50" s="68"/>
      <c r="AC50" s="68"/>
    </row>
    <row r="51" spans="1:29" ht="19.2" x14ac:dyDescent="0.45">
      <c r="A51" s="92"/>
      <c r="B51" s="92"/>
      <c r="C51" s="88"/>
      <c r="D51" s="92"/>
      <c r="E51" s="89"/>
      <c r="F51" s="89"/>
      <c r="G51" s="89"/>
      <c r="H51" s="89"/>
      <c r="I51" s="89"/>
      <c r="J51" s="89"/>
      <c r="K51" s="89"/>
      <c r="L51" s="105"/>
      <c r="M51" s="105"/>
      <c r="N51" s="105"/>
      <c r="O51" s="105"/>
      <c r="P51" s="105"/>
      <c r="Q51" s="105"/>
      <c r="R51" s="105"/>
      <c r="S51" s="68"/>
      <c r="T51" s="68"/>
      <c r="U51" s="68"/>
      <c r="V51" s="68"/>
      <c r="W51" s="68"/>
      <c r="X51" s="68"/>
      <c r="Y51" s="68"/>
      <c r="Z51" s="68"/>
      <c r="AA51" s="68"/>
      <c r="AB51" s="68"/>
      <c r="AC51" s="68"/>
    </row>
    <row r="52" spans="1:29" ht="19.2" x14ac:dyDescent="0.45">
      <c r="A52" s="91"/>
      <c r="B52" s="91"/>
      <c r="C52" s="86"/>
      <c r="D52" s="91"/>
      <c r="E52" s="87"/>
      <c r="F52" s="87"/>
      <c r="G52" s="87"/>
      <c r="H52" s="87"/>
      <c r="I52" s="87"/>
      <c r="J52" s="87"/>
      <c r="K52" s="87"/>
      <c r="L52" s="105"/>
      <c r="M52" s="105"/>
      <c r="N52" s="105"/>
      <c r="O52" s="105"/>
      <c r="P52" s="105"/>
      <c r="Q52" s="105"/>
      <c r="R52" s="105"/>
      <c r="S52" s="68"/>
      <c r="T52" s="68"/>
      <c r="U52" s="68"/>
      <c r="V52" s="68"/>
      <c r="W52" s="68"/>
      <c r="X52" s="68"/>
      <c r="Y52" s="68"/>
      <c r="Z52" s="68"/>
      <c r="AA52" s="68"/>
      <c r="AB52" s="68"/>
      <c r="AC52" s="68"/>
    </row>
    <row r="53" spans="1:29" ht="19.2" x14ac:dyDescent="0.45">
      <c r="A53" s="92"/>
      <c r="B53" s="92"/>
      <c r="C53" s="88"/>
      <c r="D53" s="92"/>
      <c r="E53" s="89"/>
      <c r="F53" s="89"/>
      <c r="G53" s="89"/>
      <c r="H53" s="89"/>
      <c r="I53" s="89"/>
      <c r="J53" s="89"/>
      <c r="K53" s="89"/>
      <c r="L53" s="105"/>
      <c r="M53" s="105"/>
      <c r="N53" s="105"/>
      <c r="O53" s="105"/>
      <c r="P53" s="105"/>
      <c r="Q53" s="105"/>
      <c r="R53" s="105"/>
      <c r="S53" s="68"/>
      <c r="T53" s="68"/>
      <c r="U53" s="68"/>
      <c r="V53" s="68"/>
      <c r="W53" s="68"/>
      <c r="X53" s="68"/>
      <c r="Y53" s="68"/>
      <c r="Z53" s="68"/>
      <c r="AA53" s="68"/>
      <c r="AB53" s="68"/>
      <c r="AC53" s="68"/>
    </row>
    <row r="54" spans="1:29" ht="19.2" x14ac:dyDescent="0.45">
      <c r="A54" s="91"/>
      <c r="B54" s="91"/>
      <c r="C54" s="86"/>
      <c r="D54" s="91"/>
      <c r="E54" s="87"/>
      <c r="F54" s="87"/>
      <c r="G54" s="87"/>
      <c r="H54" s="87"/>
      <c r="I54" s="87"/>
      <c r="J54" s="87"/>
      <c r="K54" s="87"/>
      <c r="L54" s="105"/>
      <c r="M54" s="105"/>
      <c r="N54" s="105"/>
      <c r="O54" s="105"/>
      <c r="P54" s="105"/>
      <c r="Q54" s="105"/>
      <c r="R54" s="105"/>
      <c r="S54" s="68"/>
      <c r="T54" s="68"/>
      <c r="U54" s="68"/>
      <c r="V54" s="68"/>
      <c r="W54" s="68"/>
      <c r="X54" s="68"/>
      <c r="Y54" s="68"/>
      <c r="Z54" s="68"/>
      <c r="AA54" s="68"/>
      <c r="AB54" s="68"/>
      <c r="AC54" s="68"/>
    </row>
    <row r="55" spans="1:29" ht="19.2" x14ac:dyDescent="0.45">
      <c r="A55" s="92"/>
      <c r="B55" s="92"/>
      <c r="C55" s="88"/>
      <c r="D55" s="92"/>
      <c r="E55" s="89"/>
      <c r="F55" s="89"/>
      <c r="G55" s="89"/>
      <c r="H55" s="89"/>
      <c r="I55" s="89"/>
      <c r="J55" s="89"/>
      <c r="K55" s="89"/>
      <c r="L55" s="105"/>
      <c r="M55" s="105"/>
      <c r="N55" s="105"/>
      <c r="O55" s="105"/>
      <c r="P55" s="105"/>
      <c r="Q55" s="105"/>
      <c r="R55" s="105"/>
      <c r="S55" s="68"/>
      <c r="T55" s="68"/>
      <c r="U55" s="68"/>
      <c r="V55" s="68"/>
      <c r="W55" s="68"/>
      <c r="X55" s="68"/>
      <c r="Y55" s="68"/>
      <c r="Z55" s="68"/>
      <c r="AA55" s="68"/>
      <c r="AB55" s="68"/>
      <c r="AC55" s="68"/>
    </row>
    <row r="56" spans="1:29" ht="19.2" x14ac:dyDescent="0.45">
      <c r="A56" s="91"/>
      <c r="B56" s="91"/>
      <c r="C56" s="86"/>
      <c r="D56" s="91"/>
      <c r="E56" s="87"/>
      <c r="F56" s="87"/>
      <c r="G56" s="87"/>
      <c r="H56" s="87"/>
      <c r="I56" s="87"/>
      <c r="J56" s="87"/>
      <c r="K56" s="87"/>
      <c r="L56" s="105"/>
      <c r="M56" s="105"/>
      <c r="N56" s="105"/>
      <c r="O56" s="105"/>
      <c r="P56" s="105"/>
      <c r="Q56" s="105"/>
      <c r="R56" s="105"/>
      <c r="S56" s="68"/>
      <c r="T56" s="68"/>
      <c r="U56" s="68"/>
      <c r="V56" s="68"/>
      <c r="W56" s="68"/>
      <c r="X56" s="68"/>
      <c r="Y56" s="68"/>
      <c r="Z56" s="68"/>
      <c r="AA56" s="68"/>
      <c r="AB56" s="68"/>
      <c r="AC56" s="68"/>
    </row>
    <row r="57" spans="1:29" ht="19.2" x14ac:dyDescent="0.45">
      <c r="A57" s="92"/>
      <c r="B57" s="92"/>
      <c r="C57" s="88"/>
      <c r="D57" s="92"/>
      <c r="E57" s="89"/>
      <c r="F57" s="89"/>
      <c r="G57" s="89"/>
      <c r="H57" s="89"/>
      <c r="I57" s="89"/>
      <c r="J57" s="89"/>
      <c r="K57" s="89"/>
      <c r="L57" s="105"/>
      <c r="M57" s="105"/>
      <c r="N57" s="105"/>
      <c r="O57" s="105"/>
      <c r="P57" s="105"/>
      <c r="Q57" s="105"/>
      <c r="R57" s="105"/>
      <c r="S57" s="68"/>
      <c r="T57" s="68"/>
      <c r="U57" s="68"/>
      <c r="V57" s="68"/>
      <c r="W57" s="68"/>
      <c r="X57" s="68"/>
      <c r="Y57" s="68"/>
      <c r="Z57" s="68"/>
      <c r="AA57" s="68"/>
      <c r="AB57" s="68"/>
      <c r="AC57" s="68"/>
    </row>
    <row r="58" spans="1:29" ht="19.2" x14ac:dyDescent="0.45">
      <c r="A58" s="91"/>
      <c r="B58" s="91"/>
      <c r="C58" s="86"/>
      <c r="D58" s="91"/>
      <c r="E58" s="87"/>
      <c r="F58" s="87"/>
      <c r="G58" s="87"/>
      <c r="H58" s="87"/>
      <c r="I58" s="87"/>
      <c r="J58" s="87"/>
      <c r="K58" s="87"/>
      <c r="L58" s="105"/>
      <c r="M58" s="105"/>
      <c r="N58" s="105"/>
      <c r="O58" s="105"/>
      <c r="P58" s="105"/>
      <c r="Q58" s="105"/>
      <c r="R58" s="105"/>
      <c r="S58" s="68"/>
      <c r="T58" s="68"/>
      <c r="U58" s="68"/>
      <c r="V58" s="68"/>
      <c r="W58" s="68"/>
      <c r="X58" s="68"/>
      <c r="Y58" s="68"/>
      <c r="Z58" s="68"/>
      <c r="AA58" s="68"/>
      <c r="AB58" s="68"/>
      <c r="AC58" s="68"/>
    </row>
    <row r="59" spans="1:29" ht="19.2" x14ac:dyDescent="0.45">
      <c r="A59" s="92"/>
      <c r="B59" s="92"/>
      <c r="C59" s="88"/>
      <c r="D59" s="92"/>
      <c r="E59" s="89"/>
      <c r="F59" s="89"/>
      <c r="G59" s="89"/>
      <c r="H59" s="89"/>
      <c r="I59" s="89"/>
      <c r="J59" s="89"/>
      <c r="K59" s="89"/>
      <c r="L59" s="105"/>
      <c r="M59" s="105"/>
      <c r="N59" s="105"/>
      <c r="O59" s="105"/>
      <c r="P59" s="105"/>
      <c r="Q59" s="105"/>
      <c r="R59" s="105"/>
      <c r="S59" s="68"/>
      <c r="T59" s="68"/>
      <c r="U59" s="68"/>
      <c r="V59" s="68"/>
      <c r="W59" s="68"/>
      <c r="X59" s="68"/>
      <c r="Y59" s="68"/>
      <c r="Z59" s="68"/>
      <c r="AA59" s="68"/>
      <c r="AB59" s="68"/>
      <c r="AC59" s="68"/>
    </row>
    <row r="60" spans="1:29" ht="19.2" x14ac:dyDescent="0.45">
      <c r="A60" s="91"/>
      <c r="B60" s="91"/>
      <c r="C60" s="86"/>
      <c r="D60" s="91"/>
      <c r="E60" s="87"/>
      <c r="F60" s="87"/>
      <c r="G60" s="87"/>
      <c r="H60" s="87"/>
      <c r="I60" s="87"/>
      <c r="J60" s="87"/>
      <c r="K60" s="87"/>
      <c r="L60" s="105"/>
      <c r="M60" s="105"/>
      <c r="N60" s="105"/>
      <c r="O60" s="105"/>
      <c r="P60" s="105"/>
      <c r="Q60" s="105"/>
      <c r="R60" s="105"/>
      <c r="S60" s="68"/>
      <c r="T60" s="68"/>
      <c r="U60" s="68"/>
      <c r="V60" s="68"/>
      <c r="W60" s="68"/>
      <c r="X60" s="68"/>
      <c r="Y60" s="68"/>
      <c r="Z60" s="68"/>
      <c r="AA60" s="68"/>
      <c r="AB60" s="68"/>
      <c r="AC60" s="68"/>
    </row>
    <row r="61" spans="1:29" ht="19.2" x14ac:dyDescent="0.45">
      <c r="A61" s="92"/>
      <c r="B61" s="92"/>
      <c r="C61" s="88"/>
      <c r="D61" s="92"/>
      <c r="E61" s="89"/>
      <c r="F61" s="89"/>
      <c r="G61" s="89"/>
      <c r="H61" s="89"/>
      <c r="I61" s="89"/>
      <c r="J61" s="89"/>
      <c r="K61" s="89"/>
      <c r="L61" s="105"/>
      <c r="M61" s="105"/>
      <c r="N61" s="105"/>
      <c r="O61" s="105"/>
      <c r="P61" s="105"/>
      <c r="Q61" s="105"/>
      <c r="R61" s="105"/>
      <c r="S61" s="68"/>
      <c r="T61" s="68"/>
      <c r="U61" s="68"/>
      <c r="V61" s="68"/>
      <c r="W61" s="68"/>
      <c r="X61" s="68"/>
      <c r="Y61" s="68"/>
      <c r="Z61" s="68"/>
      <c r="AA61" s="68"/>
      <c r="AB61" s="68"/>
      <c r="AC61" s="68"/>
    </row>
    <row r="62" spans="1:29" ht="19.2" x14ac:dyDescent="0.45">
      <c r="A62" s="91"/>
      <c r="B62" s="91"/>
      <c r="C62" s="86"/>
      <c r="D62" s="91"/>
      <c r="E62" s="87"/>
      <c r="F62" s="87"/>
      <c r="G62" s="87"/>
      <c r="H62" s="87"/>
      <c r="I62" s="87"/>
      <c r="J62" s="87"/>
      <c r="K62" s="87"/>
      <c r="L62" s="105"/>
      <c r="M62" s="105"/>
      <c r="N62" s="105"/>
      <c r="O62" s="105"/>
      <c r="P62" s="105"/>
      <c r="Q62" s="105"/>
      <c r="R62" s="105"/>
      <c r="S62" s="68"/>
      <c r="T62" s="68"/>
      <c r="U62" s="68"/>
      <c r="V62" s="68"/>
      <c r="W62" s="68"/>
      <c r="X62" s="68"/>
      <c r="Y62" s="68"/>
      <c r="Z62" s="68"/>
      <c r="AA62" s="68"/>
      <c r="AB62" s="68"/>
      <c r="AC62" s="68"/>
    </row>
    <row r="63" spans="1:29" ht="19.2" x14ac:dyDescent="0.45">
      <c r="A63" s="92"/>
      <c r="B63" s="92"/>
      <c r="C63" s="88"/>
      <c r="D63" s="92"/>
      <c r="E63" s="89"/>
      <c r="F63" s="89"/>
      <c r="G63" s="89"/>
      <c r="H63" s="89"/>
      <c r="I63" s="89"/>
      <c r="J63" s="89"/>
      <c r="K63" s="89"/>
      <c r="L63" s="105"/>
      <c r="M63" s="105"/>
      <c r="N63" s="105"/>
      <c r="O63" s="105"/>
      <c r="P63" s="105"/>
      <c r="Q63" s="105"/>
      <c r="R63" s="105"/>
      <c r="S63" s="68"/>
      <c r="T63" s="68"/>
      <c r="U63" s="68"/>
      <c r="V63" s="68"/>
      <c r="W63" s="68"/>
      <c r="X63" s="68"/>
      <c r="Y63" s="68"/>
      <c r="Z63" s="68"/>
      <c r="AA63" s="68"/>
      <c r="AB63" s="68"/>
      <c r="AC63" s="68"/>
    </row>
    <row r="64" spans="1:29" ht="19.2" x14ac:dyDescent="0.45">
      <c r="A64" s="91"/>
      <c r="B64" s="91"/>
      <c r="C64" s="86"/>
      <c r="D64" s="91"/>
      <c r="E64" s="87"/>
      <c r="F64" s="87"/>
      <c r="G64" s="87"/>
      <c r="H64" s="87"/>
      <c r="I64" s="87"/>
      <c r="J64" s="87"/>
      <c r="K64" s="87"/>
      <c r="L64" s="105"/>
      <c r="M64" s="105"/>
      <c r="N64" s="105"/>
      <c r="O64" s="105"/>
      <c r="P64" s="105"/>
      <c r="Q64" s="105"/>
      <c r="R64" s="105"/>
      <c r="S64" s="68"/>
      <c r="T64" s="68"/>
      <c r="U64" s="68"/>
      <c r="V64" s="68"/>
      <c r="W64" s="68"/>
      <c r="X64" s="68"/>
      <c r="Y64" s="68"/>
      <c r="Z64" s="68"/>
      <c r="AA64" s="68"/>
      <c r="AB64" s="68"/>
      <c r="AC64" s="68"/>
    </row>
    <row r="65" spans="1:29" ht="19.2" x14ac:dyDescent="0.45">
      <c r="A65" s="92"/>
      <c r="B65" s="92"/>
      <c r="C65" s="88"/>
      <c r="D65" s="92"/>
      <c r="E65" s="89"/>
      <c r="F65" s="89"/>
      <c r="G65" s="89"/>
      <c r="H65" s="89"/>
      <c r="I65" s="89"/>
      <c r="J65" s="89"/>
      <c r="K65" s="89"/>
      <c r="L65" s="105"/>
      <c r="M65" s="105"/>
      <c r="N65" s="105"/>
      <c r="O65" s="105"/>
      <c r="P65" s="105"/>
      <c r="Q65" s="105"/>
      <c r="R65" s="105"/>
      <c r="S65" s="68"/>
      <c r="T65" s="68"/>
      <c r="U65" s="68"/>
      <c r="V65" s="68"/>
      <c r="W65" s="68"/>
      <c r="X65" s="68"/>
      <c r="Y65" s="68"/>
      <c r="Z65" s="68"/>
      <c r="AA65" s="68"/>
      <c r="AB65" s="68"/>
      <c r="AC65" s="68"/>
    </row>
    <row r="66" spans="1:29" ht="19.2" x14ac:dyDescent="0.45">
      <c r="A66" s="91"/>
      <c r="B66" s="91"/>
      <c r="C66" s="86"/>
      <c r="D66" s="91"/>
      <c r="E66" s="87"/>
      <c r="F66" s="87"/>
      <c r="G66" s="87"/>
      <c r="H66" s="87"/>
      <c r="I66" s="87"/>
      <c r="J66" s="87"/>
      <c r="K66" s="87"/>
      <c r="L66" s="105"/>
      <c r="M66" s="105"/>
      <c r="N66" s="105"/>
      <c r="O66" s="105"/>
      <c r="P66" s="105"/>
      <c r="Q66" s="105"/>
      <c r="R66" s="105"/>
      <c r="S66" s="68"/>
      <c r="T66" s="68"/>
      <c r="U66" s="68"/>
      <c r="V66" s="68"/>
      <c r="W66" s="68"/>
      <c r="X66" s="68"/>
      <c r="Y66" s="68"/>
      <c r="Z66" s="68"/>
      <c r="AA66" s="68"/>
      <c r="AB66" s="68"/>
      <c r="AC66" s="68"/>
    </row>
    <row r="67" spans="1:29" ht="19.2" x14ac:dyDescent="0.45">
      <c r="A67" s="92"/>
      <c r="B67" s="92"/>
      <c r="C67" s="88"/>
      <c r="D67" s="92"/>
      <c r="E67" s="89"/>
      <c r="F67" s="89"/>
      <c r="G67" s="89"/>
      <c r="H67" s="89"/>
      <c r="I67" s="89"/>
      <c r="J67" s="89"/>
      <c r="K67" s="89"/>
      <c r="L67" s="105"/>
      <c r="M67" s="105"/>
      <c r="N67" s="105"/>
      <c r="O67" s="105"/>
      <c r="P67" s="105"/>
      <c r="Q67" s="105"/>
      <c r="R67" s="105"/>
      <c r="S67" s="68"/>
      <c r="T67" s="68"/>
      <c r="U67" s="68"/>
      <c r="V67" s="68"/>
      <c r="W67" s="68"/>
      <c r="X67" s="68"/>
      <c r="Y67" s="68"/>
      <c r="Z67" s="68"/>
      <c r="AA67" s="68"/>
      <c r="AB67" s="68"/>
      <c r="AC67" s="68"/>
    </row>
    <row r="68" spans="1:29" ht="19.2" x14ac:dyDescent="0.45">
      <c r="A68" s="91"/>
      <c r="B68" s="91"/>
      <c r="C68" s="86"/>
      <c r="D68" s="91"/>
      <c r="E68" s="87"/>
      <c r="F68" s="87"/>
      <c r="G68" s="87"/>
      <c r="H68" s="87"/>
      <c r="I68" s="87"/>
      <c r="J68" s="87"/>
      <c r="K68" s="87"/>
      <c r="L68" s="105"/>
      <c r="M68" s="105"/>
      <c r="N68" s="105"/>
      <c r="O68" s="105"/>
      <c r="P68" s="105"/>
      <c r="Q68" s="105"/>
      <c r="R68" s="105"/>
      <c r="S68" s="68"/>
      <c r="T68" s="68"/>
      <c r="U68" s="68"/>
      <c r="V68" s="68"/>
      <c r="W68" s="68"/>
      <c r="X68" s="68"/>
      <c r="Y68" s="68"/>
      <c r="Z68" s="68"/>
      <c r="AA68" s="68"/>
      <c r="AB68" s="68"/>
      <c r="AC68" s="68"/>
    </row>
    <row r="69" spans="1:29" ht="19.2" x14ac:dyDescent="0.45">
      <c r="A69" s="92"/>
      <c r="B69" s="92"/>
      <c r="C69" s="88"/>
      <c r="D69" s="92"/>
      <c r="E69" s="89"/>
      <c r="F69" s="89"/>
      <c r="G69" s="89"/>
      <c r="H69" s="89"/>
      <c r="I69" s="89"/>
      <c r="J69" s="89"/>
      <c r="K69" s="89"/>
      <c r="L69" s="105"/>
      <c r="M69" s="105"/>
      <c r="N69" s="105"/>
      <c r="O69" s="105"/>
      <c r="P69" s="105"/>
      <c r="Q69" s="105"/>
      <c r="R69" s="105"/>
      <c r="S69" s="68"/>
      <c r="T69" s="68"/>
      <c r="U69" s="68"/>
      <c r="V69" s="68"/>
      <c r="W69" s="68"/>
      <c r="X69" s="68"/>
      <c r="Y69" s="68"/>
      <c r="Z69" s="68"/>
      <c r="AA69" s="68"/>
      <c r="AB69" s="68"/>
      <c r="AC69" s="68"/>
    </row>
    <row r="70" spans="1:29" ht="19.2" x14ac:dyDescent="0.45">
      <c r="A70" s="91"/>
      <c r="B70" s="91"/>
      <c r="C70" s="86"/>
      <c r="D70" s="91"/>
      <c r="E70" s="87"/>
      <c r="F70" s="87"/>
      <c r="G70" s="87"/>
      <c r="H70" s="87"/>
      <c r="I70" s="87"/>
      <c r="J70" s="87"/>
      <c r="K70" s="87"/>
      <c r="L70" s="105"/>
      <c r="M70" s="105"/>
      <c r="N70" s="105"/>
      <c r="O70" s="105"/>
      <c r="P70" s="105"/>
      <c r="Q70" s="105"/>
      <c r="R70" s="105"/>
      <c r="S70" s="68"/>
      <c r="T70" s="68"/>
      <c r="U70" s="68"/>
      <c r="V70" s="68"/>
      <c r="W70" s="68"/>
      <c r="X70" s="68"/>
      <c r="Y70" s="68"/>
      <c r="Z70" s="68"/>
      <c r="AA70" s="68"/>
      <c r="AB70" s="68"/>
      <c r="AC70" s="68"/>
    </row>
    <row r="71" spans="1:29" ht="19.2" x14ac:dyDescent="0.45">
      <c r="A71" s="92"/>
      <c r="B71" s="92"/>
      <c r="C71" s="88"/>
      <c r="D71" s="92"/>
      <c r="E71" s="89"/>
      <c r="F71" s="89"/>
      <c r="G71" s="89"/>
      <c r="H71" s="89"/>
      <c r="I71" s="89"/>
      <c r="J71" s="89"/>
      <c r="K71" s="89"/>
      <c r="L71" s="105"/>
      <c r="M71" s="105"/>
      <c r="N71" s="105"/>
      <c r="O71" s="105"/>
      <c r="P71" s="105"/>
      <c r="Q71" s="105"/>
      <c r="R71" s="105"/>
      <c r="S71" s="68"/>
      <c r="T71" s="68"/>
      <c r="U71" s="68"/>
      <c r="V71" s="68"/>
      <c r="W71" s="68"/>
      <c r="X71" s="68"/>
      <c r="Y71" s="68"/>
      <c r="Z71" s="68"/>
      <c r="AA71" s="68"/>
      <c r="AB71" s="68"/>
      <c r="AC71" s="68"/>
    </row>
    <row r="72" spans="1:29" ht="19.2" x14ac:dyDescent="0.45">
      <c r="A72" s="91"/>
      <c r="B72" s="91"/>
      <c r="C72" s="86"/>
      <c r="D72" s="91"/>
      <c r="E72" s="87"/>
      <c r="F72" s="87"/>
      <c r="G72" s="87"/>
      <c r="H72" s="87"/>
      <c r="I72" s="87"/>
      <c r="J72" s="87"/>
      <c r="K72" s="87"/>
      <c r="L72" s="105"/>
      <c r="M72" s="105"/>
      <c r="N72" s="105"/>
      <c r="O72" s="105"/>
      <c r="P72" s="105"/>
      <c r="Q72" s="105"/>
      <c r="R72" s="105"/>
      <c r="S72" s="68"/>
      <c r="T72" s="68"/>
      <c r="U72" s="68"/>
      <c r="V72" s="68"/>
      <c r="W72" s="68"/>
      <c r="X72" s="68"/>
      <c r="Y72" s="68"/>
      <c r="Z72" s="68"/>
      <c r="AA72" s="68"/>
      <c r="AB72" s="68"/>
      <c r="AC72" s="68"/>
    </row>
    <row r="73" spans="1:29" ht="19.2" x14ac:dyDescent="0.45">
      <c r="A73" s="92"/>
      <c r="B73" s="92"/>
      <c r="C73" s="88"/>
      <c r="D73" s="92"/>
      <c r="E73" s="89"/>
      <c r="F73" s="89"/>
      <c r="G73" s="89"/>
      <c r="H73" s="89"/>
      <c r="I73" s="89"/>
      <c r="J73" s="89"/>
      <c r="K73" s="89"/>
      <c r="L73" s="105"/>
      <c r="M73" s="105"/>
      <c r="N73" s="105"/>
      <c r="O73" s="105"/>
      <c r="P73" s="105"/>
      <c r="Q73" s="105"/>
      <c r="R73" s="105"/>
      <c r="S73" s="68"/>
      <c r="T73" s="68"/>
      <c r="U73" s="68"/>
      <c r="V73" s="68"/>
      <c r="W73" s="68"/>
      <c r="X73" s="68"/>
      <c r="Y73" s="68"/>
      <c r="Z73" s="68"/>
      <c r="AA73" s="68"/>
      <c r="AB73" s="68"/>
      <c r="AC73" s="68"/>
    </row>
    <row r="74" spans="1:29" ht="19.2" x14ac:dyDescent="0.45">
      <c r="A74" s="91"/>
      <c r="B74" s="91"/>
      <c r="C74" s="86"/>
      <c r="D74" s="91"/>
      <c r="E74" s="87"/>
      <c r="F74" s="87"/>
      <c r="G74" s="87"/>
      <c r="H74" s="87"/>
      <c r="I74" s="87"/>
      <c r="J74" s="87"/>
      <c r="K74" s="87"/>
      <c r="L74" s="105"/>
      <c r="M74" s="105"/>
      <c r="N74" s="105"/>
      <c r="O74" s="105"/>
      <c r="P74" s="105"/>
      <c r="Q74" s="105"/>
      <c r="R74" s="105"/>
      <c r="S74" s="68"/>
      <c r="T74" s="68"/>
      <c r="U74" s="68"/>
      <c r="V74" s="68"/>
      <c r="W74" s="68"/>
      <c r="X74" s="68"/>
      <c r="Y74" s="68"/>
      <c r="Z74" s="68"/>
      <c r="AA74" s="68"/>
      <c r="AB74" s="68"/>
      <c r="AC74" s="68"/>
    </row>
    <row r="75" spans="1:29" ht="19.2" x14ac:dyDescent="0.45">
      <c r="A75" s="92"/>
      <c r="B75" s="92"/>
      <c r="C75" s="88"/>
      <c r="D75" s="92"/>
      <c r="E75" s="89"/>
      <c r="F75" s="89"/>
      <c r="G75" s="89"/>
      <c r="H75" s="89"/>
      <c r="I75" s="89"/>
      <c r="J75" s="89"/>
      <c r="K75" s="89"/>
      <c r="L75" s="105"/>
      <c r="M75" s="105"/>
      <c r="N75" s="105"/>
      <c r="O75" s="105"/>
      <c r="P75" s="105"/>
      <c r="Q75" s="105"/>
      <c r="R75" s="105"/>
      <c r="S75" s="68"/>
      <c r="T75" s="68"/>
      <c r="U75" s="68"/>
      <c r="V75" s="68"/>
      <c r="W75" s="68"/>
      <c r="X75" s="68"/>
      <c r="Y75" s="68"/>
      <c r="Z75" s="68"/>
      <c r="AA75" s="68"/>
      <c r="AB75" s="68"/>
      <c r="AC75" s="68"/>
    </row>
    <row r="76" spans="1:29" ht="19.2" x14ac:dyDescent="0.45">
      <c r="A76" s="91"/>
      <c r="B76" s="91"/>
      <c r="C76" s="86"/>
      <c r="D76" s="91"/>
      <c r="E76" s="87"/>
      <c r="F76" s="87"/>
      <c r="G76" s="87"/>
      <c r="H76" s="87"/>
      <c r="I76" s="87"/>
      <c r="J76" s="87"/>
      <c r="K76" s="87"/>
      <c r="L76" s="105"/>
      <c r="M76" s="105"/>
      <c r="N76" s="105"/>
      <c r="O76" s="105"/>
      <c r="P76" s="105"/>
      <c r="Q76" s="105"/>
      <c r="R76" s="105"/>
      <c r="S76" s="68"/>
      <c r="T76" s="68"/>
      <c r="U76" s="68"/>
      <c r="V76" s="68"/>
      <c r="W76" s="68"/>
      <c r="X76" s="68"/>
      <c r="Y76" s="68"/>
      <c r="Z76" s="68"/>
      <c r="AA76" s="68"/>
      <c r="AB76" s="68"/>
      <c r="AC76" s="68"/>
    </row>
    <row r="77" spans="1:29" ht="19.2" x14ac:dyDescent="0.45">
      <c r="A77" s="92"/>
      <c r="B77" s="92"/>
      <c r="C77" s="88"/>
      <c r="D77" s="92"/>
      <c r="E77" s="89"/>
      <c r="F77" s="89"/>
      <c r="G77" s="89"/>
      <c r="H77" s="89"/>
      <c r="I77" s="89"/>
      <c r="J77" s="89"/>
      <c r="K77" s="89"/>
      <c r="L77" s="105"/>
      <c r="M77" s="105"/>
      <c r="N77" s="105"/>
      <c r="O77" s="105"/>
      <c r="P77" s="105"/>
      <c r="Q77" s="105"/>
      <c r="R77" s="105"/>
      <c r="S77" s="68"/>
      <c r="T77" s="68"/>
      <c r="U77" s="68"/>
      <c r="V77" s="68"/>
      <c r="W77" s="68"/>
      <c r="X77" s="68"/>
      <c r="Y77" s="68"/>
      <c r="Z77" s="68"/>
      <c r="AA77" s="68"/>
      <c r="AB77" s="68"/>
      <c r="AC77" s="68"/>
    </row>
    <row r="78" spans="1:29" ht="19.2" x14ac:dyDescent="0.45">
      <c r="A78" s="91"/>
      <c r="B78" s="91"/>
      <c r="C78" s="86"/>
      <c r="D78" s="91"/>
      <c r="E78" s="87"/>
      <c r="F78" s="87"/>
      <c r="G78" s="87"/>
      <c r="H78" s="87"/>
      <c r="I78" s="87"/>
      <c r="J78" s="87"/>
      <c r="K78" s="87"/>
      <c r="L78" s="105"/>
      <c r="M78" s="105"/>
      <c r="N78" s="105"/>
      <c r="O78" s="105"/>
      <c r="P78" s="105"/>
      <c r="Q78" s="105"/>
      <c r="R78" s="105"/>
      <c r="S78" s="68"/>
      <c r="T78" s="68"/>
      <c r="U78" s="68"/>
      <c r="V78" s="68"/>
      <c r="W78" s="68"/>
      <c r="X78" s="68"/>
      <c r="Y78" s="68"/>
      <c r="Z78" s="68"/>
      <c r="AA78" s="68"/>
      <c r="AB78" s="68"/>
      <c r="AC78" s="68"/>
    </row>
    <row r="79" spans="1:29" ht="19.2" x14ac:dyDescent="0.45">
      <c r="A79" s="92"/>
      <c r="B79" s="92"/>
      <c r="C79" s="88"/>
      <c r="D79" s="92"/>
      <c r="E79" s="89"/>
      <c r="F79" s="89"/>
      <c r="G79" s="89"/>
      <c r="H79" s="89"/>
      <c r="I79" s="89"/>
      <c r="J79" s="89"/>
      <c r="K79" s="89"/>
      <c r="L79" s="105"/>
      <c r="M79" s="105"/>
      <c r="N79" s="105"/>
      <c r="O79" s="105"/>
      <c r="P79" s="105"/>
      <c r="Q79" s="105"/>
      <c r="R79" s="105"/>
      <c r="S79" s="68"/>
      <c r="T79" s="68"/>
      <c r="U79" s="68"/>
      <c r="V79" s="68"/>
      <c r="W79" s="68"/>
      <c r="X79" s="68"/>
      <c r="Y79" s="68"/>
      <c r="Z79" s="68"/>
      <c r="AA79" s="68"/>
      <c r="AB79" s="68"/>
      <c r="AC79" s="68"/>
    </row>
    <row r="80" spans="1:29" ht="19.2" x14ac:dyDescent="0.45">
      <c r="A80" s="91"/>
      <c r="B80" s="91"/>
      <c r="C80" s="86"/>
      <c r="D80" s="91"/>
      <c r="E80" s="87"/>
      <c r="F80" s="87"/>
      <c r="G80" s="87"/>
      <c r="H80" s="87"/>
      <c r="I80" s="87"/>
      <c r="J80" s="87"/>
      <c r="K80" s="87"/>
      <c r="L80" s="105"/>
      <c r="M80" s="105"/>
      <c r="N80" s="105"/>
      <c r="O80" s="105"/>
      <c r="P80" s="105"/>
      <c r="Q80" s="105"/>
      <c r="R80" s="105"/>
      <c r="S80" s="68"/>
      <c r="T80" s="68"/>
      <c r="U80" s="68"/>
      <c r="V80" s="68"/>
      <c r="W80" s="68"/>
      <c r="X80" s="68"/>
      <c r="Y80" s="68"/>
      <c r="Z80" s="68"/>
      <c r="AA80" s="68"/>
      <c r="AB80" s="68"/>
      <c r="AC80" s="68"/>
    </row>
    <row r="81" spans="1:29" ht="19.2" x14ac:dyDescent="0.45">
      <c r="A81" s="92"/>
      <c r="B81" s="92"/>
      <c r="C81" s="88"/>
      <c r="D81" s="92"/>
      <c r="E81" s="89"/>
      <c r="F81" s="89"/>
      <c r="G81" s="89"/>
      <c r="H81" s="89"/>
      <c r="I81" s="89"/>
      <c r="J81" s="89"/>
      <c r="K81" s="89"/>
      <c r="L81" s="105"/>
      <c r="M81" s="105"/>
      <c r="N81" s="105"/>
      <c r="O81" s="105"/>
      <c r="P81" s="105"/>
      <c r="Q81" s="105"/>
      <c r="R81" s="105"/>
      <c r="S81" s="68"/>
      <c r="T81" s="68"/>
      <c r="U81" s="68"/>
      <c r="V81" s="68"/>
      <c r="W81" s="68"/>
      <c r="X81" s="68"/>
      <c r="Y81" s="68"/>
      <c r="Z81" s="68"/>
      <c r="AA81" s="68"/>
      <c r="AB81" s="68"/>
      <c r="AC81" s="68"/>
    </row>
    <row r="82" spans="1:29" ht="19.2" x14ac:dyDescent="0.45">
      <c r="A82" s="91"/>
      <c r="B82" s="91"/>
      <c r="C82" s="86"/>
      <c r="D82" s="91"/>
      <c r="E82" s="87"/>
      <c r="F82" s="87"/>
      <c r="G82" s="87"/>
      <c r="H82" s="87"/>
      <c r="I82" s="87"/>
      <c r="J82" s="87"/>
      <c r="K82" s="87"/>
      <c r="L82" s="105"/>
      <c r="M82" s="105"/>
      <c r="N82" s="105"/>
      <c r="O82" s="105"/>
      <c r="P82" s="105"/>
      <c r="Q82" s="105"/>
      <c r="R82" s="105"/>
      <c r="S82" s="68"/>
      <c r="T82" s="68"/>
      <c r="U82" s="68"/>
      <c r="V82" s="68"/>
      <c r="W82" s="68"/>
      <c r="X82" s="68"/>
      <c r="Y82" s="68"/>
      <c r="Z82" s="68"/>
      <c r="AA82" s="68"/>
      <c r="AB82" s="68"/>
      <c r="AC82" s="68"/>
    </row>
    <row r="83" spans="1:29" ht="19.2" x14ac:dyDescent="0.45">
      <c r="A83" s="92"/>
      <c r="B83" s="92"/>
      <c r="C83" s="88"/>
      <c r="D83" s="92"/>
      <c r="E83" s="89"/>
      <c r="F83" s="89"/>
      <c r="G83" s="89"/>
      <c r="H83" s="89"/>
      <c r="I83" s="89"/>
      <c r="J83" s="89"/>
      <c r="K83" s="89"/>
      <c r="L83" s="105"/>
      <c r="M83" s="105"/>
      <c r="N83" s="105"/>
      <c r="O83" s="105"/>
      <c r="P83" s="105"/>
      <c r="Q83" s="105"/>
      <c r="R83" s="105"/>
      <c r="S83" s="68"/>
      <c r="T83" s="68"/>
      <c r="U83" s="68"/>
      <c r="V83" s="68"/>
      <c r="W83" s="68"/>
      <c r="X83" s="68"/>
      <c r="Y83" s="68"/>
      <c r="Z83" s="68"/>
      <c r="AA83" s="68"/>
      <c r="AB83" s="68"/>
      <c r="AC83" s="68"/>
    </row>
    <row r="84" spans="1:29" ht="19.2" x14ac:dyDescent="0.45">
      <c r="A84" s="91"/>
      <c r="B84" s="91"/>
      <c r="C84" s="86"/>
      <c r="D84" s="91"/>
      <c r="E84" s="87"/>
      <c r="F84" s="87"/>
      <c r="G84" s="87"/>
      <c r="H84" s="87"/>
      <c r="I84" s="87"/>
      <c r="J84" s="87"/>
      <c r="K84" s="87"/>
      <c r="L84" s="105"/>
      <c r="M84" s="105"/>
      <c r="N84" s="105"/>
      <c r="O84" s="105"/>
      <c r="P84" s="105"/>
      <c r="Q84" s="105"/>
      <c r="R84" s="105"/>
      <c r="S84" s="68"/>
      <c r="T84" s="68"/>
      <c r="U84" s="68"/>
      <c r="V84" s="68"/>
      <c r="W84" s="68"/>
      <c r="X84" s="68"/>
      <c r="Y84" s="68"/>
      <c r="Z84" s="68"/>
      <c r="AA84" s="68"/>
      <c r="AB84" s="68"/>
      <c r="AC84" s="68"/>
    </row>
    <row r="85" spans="1:29" ht="19.2" x14ac:dyDescent="0.45">
      <c r="A85" s="92"/>
      <c r="B85" s="92"/>
      <c r="C85" s="88"/>
      <c r="D85" s="92"/>
      <c r="E85" s="89"/>
      <c r="F85" s="89"/>
      <c r="G85" s="89"/>
      <c r="H85" s="89"/>
      <c r="I85" s="89"/>
      <c r="J85" s="89"/>
      <c r="K85" s="89"/>
      <c r="L85" s="105"/>
      <c r="M85" s="105"/>
      <c r="N85" s="105"/>
      <c r="O85" s="105"/>
      <c r="P85" s="105"/>
      <c r="Q85" s="105"/>
      <c r="R85" s="105"/>
      <c r="S85" s="68"/>
      <c r="T85" s="68"/>
      <c r="U85" s="68"/>
      <c r="V85" s="68"/>
      <c r="W85" s="68"/>
      <c r="X85" s="68"/>
      <c r="Y85" s="68"/>
      <c r="Z85" s="68"/>
      <c r="AA85" s="68"/>
      <c r="AB85" s="68"/>
      <c r="AC85" s="68"/>
    </row>
    <row r="86" spans="1:29" ht="19.2" x14ac:dyDescent="0.45">
      <c r="A86" s="91"/>
      <c r="B86" s="91"/>
      <c r="C86" s="86"/>
      <c r="D86" s="91"/>
      <c r="E86" s="87"/>
      <c r="F86" s="87"/>
      <c r="G86" s="87"/>
      <c r="H86" s="87"/>
      <c r="I86" s="87"/>
      <c r="J86" s="87"/>
      <c r="K86" s="87"/>
      <c r="L86" s="105"/>
      <c r="M86" s="105"/>
      <c r="N86" s="105"/>
      <c r="O86" s="105"/>
      <c r="P86" s="105"/>
      <c r="Q86" s="105"/>
      <c r="R86" s="105"/>
      <c r="S86" s="68"/>
      <c r="T86" s="68"/>
      <c r="U86" s="68"/>
      <c r="V86" s="68"/>
      <c r="W86" s="68"/>
      <c r="X86" s="68"/>
      <c r="Y86" s="68"/>
      <c r="Z86" s="68"/>
      <c r="AA86" s="68"/>
      <c r="AB86" s="68"/>
      <c r="AC86" s="68"/>
    </row>
    <row r="87" spans="1:29" ht="19.2" x14ac:dyDescent="0.45">
      <c r="A87" s="92"/>
      <c r="B87" s="92"/>
      <c r="C87" s="88"/>
      <c r="D87" s="92"/>
      <c r="E87" s="89"/>
      <c r="F87" s="89"/>
      <c r="G87" s="89"/>
      <c r="H87" s="89"/>
      <c r="I87" s="89"/>
      <c r="J87" s="89"/>
      <c r="K87" s="89"/>
      <c r="L87" s="105"/>
      <c r="M87" s="105"/>
      <c r="N87" s="105"/>
      <c r="O87" s="105"/>
      <c r="P87" s="105"/>
      <c r="Q87" s="105"/>
      <c r="R87" s="105"/>
      <c r="S87" s="68"/>
      <c r="T87" s="68"/>
      <c r="U87" s="68"/>
      <c r="V87" s="68"/>
      <c r="W87" s="68"/>
      <c r="X87" s="68"/>
      <c r="Y87" s="68"/>
      <c r="Z87" s="68"/>
      <c r="AA87" s="68"/>
      <c r="AB87" s="68"/>
      <c r="AC87" s="68"/>
    </row>
    <row r="88" spans="1:29" ht="19.2" x14ac:dyDescent="0.45">
      <c r="A88" s="91"/>
      <c r="B88" s="91"/>
      <c r="C88" s="86"/>
      <c r="D88" s="91"/>
      <c r="E88" s="87"/>
      <c r="F88" s="87"/>
      <c r="G88" s="87"/>
      <c r="H88" s="87"/>
      <c r="I88" s="87"/>
      <c r="J88" s="87"/>
      <c r="K88" s="87"/>
      <c r="L88" s="105"/>
      <c r="M88" s="105"/>
      <c r="N88" s="105"/>
      <c r="O88" s="105"/>
      <c r="P88" s="105"/>
      <c r="Q88" s="105"/>
      <c r="R88" s="105"/>
      <c r="S88" s="68"/>
      <c r="T88" s="68"/>
      <c r="U88" s="68"/>
      <c r="V88" s="68"/>
      <c r="W88" s="68"/>
      <c r="X88" s="68"/>
      <c r="Y88" s="68"/>
      <c r="Z88" s="68"/>
      <c r="AA88" s="68"/>
      <c r="AB88" s="68"/>
      <c r="AC88" s="68"/>
    </row>
    <row r="89" spans="1:29" ht="19.2" x14ac:dyDescent="0.45">
      <c r="A89" s="92"/>
      <c r="B89" s="92"/>
      <c r="C89" s="88"/>
      <c r="D89" s="92"/>
      <c r="E89" s="89"/>
      <c r="F89" s="89"/>
      <c r="G89" s="89"/>
      <c r="H89" s="89"/>
      <c r="I89" s="89"/>
      <c r="J89" s="89"/>
      <c r="K89" s="89"/>
      <c r="L89" s="105"/>
      <c r="M89" s="105"/>
      <c r="N89" s="105"/>
      <c r="O89" s="105"/>
      <c r="P89" s="105"/>
      <c r="Q89" s="105"/>
      <c r="R89" s="105"/>
      <c r="S89" s="68"/>
      <c r="T89" s="68"/>
      <c r="U89" s="68"/>
      <c r="V89" s="68"/>
      <c r="W89" s="68"/>
      <c r="X89" s="68"/>
      <c r="Y89" s="68"/>
      <c r="Z89" s="68"/>
      <c r="AA89" s="68"/>
      <c r="AB89" s="68"/>
      <c r="AC89" s="68"/>
    </row>
    <row r="90" spans="1:29" ht="19.2" x14ac:dyDescent="0.45">
      <c r="A90" s="91"/>
      <c r="B90" s="91"/>
      <c r="C90" s="86"/>
      <c r="D90" s="91"/>
      <c r="E90" s="87"/>
      <c r="F90" s="87"/>
      <c r="G90" s="87"/>
      <c r="H90" s="87"/>
      <c r="I90" s="87"/>
      <c r="J90" s="87"/>
      <c r="K90" s="87"/>
      <c r="L90" s="105"/>
      <c r="M90" s="105"/>
      <c r="N90" s="105"/>
      <c r="O90" s="105"/>
      <c r="P90" s="105"/>
      <c r="Q90" s="105"/>
      <c r="R90" s="105"/>
      <c r="S90" s="68"/>
      <c r="T90" s="68"/>
      <c r="U90" s="68"/>
      <c r="V90" s="68"/>
      <c r="W90" s="68"/>
      <c r="X90" s="68"/>
      <c r="Y90" s="68"/>
      <c r="Z90" s="68"/>
      <c r="AA90" s="68"/>
      <c r="AB90" s="68"/>
      <c r="AC90" s="68"/>
    </row>
    <row r="91" spans="1:29" ht="19.2" x14ac:dyDescent="0.45">
      <c r="A91" s="92"/>
      <c r="B91" s="92"/>
      <c r="C91" s="88"/>
      <c r="D91" s="92"/>
      <c r="E91" s="89"/>
      <c r="F91" s="89"/>
      <c r="G91" s="89"/>
      <c r="H91" s="89"/>
      <c r="I91" s="89"/>
      <c r="J91" s="89"/>
      <c r="K91" s="89"/>
      <c r="L91" s="105"/>
      <c r="M91" s="105"/>
      <c r="N91" s="105"/>
      <c r="O91" s="105"/>
      <c r="P91" s="105"/>
      <c r="Q91" s="105"/>
      <c r="R91" s="105"/>
      <c r="S91" s="68"/>
      <c r="T91" s="68"/>
      <c r="U91" s="68"/>
      <c r="V91" s="68"/>
      <c r="W91" s="68"/>
      <c r="X91" s="68"/>
      <c r="Y91" s="68"/>
      <c r="Z91" s="68"/>
      <c r="AA91" s="68"/>
      <c r="AB91" s="68"/>
      <c r="AC91" s="68"/>
    </row>
    <row r="92" spans="1:29" ht="19.2" x14ac:dyDescent="0.45">
      <c r="A92" s="91"/>
      <c r="B92" s="91"/>
      <c r="C92" s="86"/>
      <c r="D92" s="91"/>
      <c r="E92" s="87"/>
      <c r="F92" s="87"/>
      <c r="G92" s="87"/>
      <c r="H92" s="87"/>
      <c r="I92" s="87"/>
      <c r="J92" s="87"/>
      <c r="K92" s="87"/>
      <c r="L92" s="105"/>
      <c r="M92" s="105"/>
      <c r="N92" s="105"/>
      <c r="O92" s="105"/>
      <c r="P92" s="105"/>
      <c r="Q92" s="105"/>
      <c r="R92" s="105"/>
      <c r="S92" s="68"/>
      <c r="T92" s="68"/>
      <c r="U92" s="68"/>
      <c r="V92" s="68"/>
      <c r="W92" s="68"/>
      <c r="X92" s="68"/>
      <c r="Y92" s="68"/>
      <c r="Z92" s="68"/>
      <c r="AA92" s="68"/>
      <c r="AB92" s="68"/>
      <c r="AC92" s="68"/>
    </row>
    <row r="93" spans="1:29" ht="19.2" x14ac:dyDescent="0.45">
      <c r="A93" s="92"/>
      <c r="B93" s="92"/>
      <c r="C93" s="88"/>
      <c r="D93" s="92"/>
      <c r="E93" s="89"/>
      <c r="F93" s="89"/>
      <c r="G93" s="89"/>
      <c r="H93" s="89"/>
      <c r="I93" s="89"/>
      <c r="J93" s="89"/>
      <c r="K93" s="89"/>
      <c r="L93" s="105"/>
      <c r="M93" s="105"/>
      <c r="N93" s="105"/>
      <c r="O93" s="105"/>
      <c r="P93" s="105"/>
      <c r="Q93" s="105"/>
      <c r="R93" s="105"/>
      <c r="S93" s="68"/>
      <c r="T93" s="68"/>
      <c r="U93" s="68"/>
      <c r="V93" s="68"/>
      <c r="W93" s="68"/>
      <c r="X93" s="68"/>
      <c r="Y93" s="68"/>
      <c r="Z93" s="68"/>
      <c r="AA93" s="68"/>
      <c r="AB93" s="68"/>
      <c r="AC93" s="68"/>
    </row>
    <row r="94" spans="1:29" ht="19.2" x14ac:dyDescent="0.45">
      <c r="A94" s="91"/>
      <c r="B94" s="91"/>
      <c r="C94" s="86"/>
      <c r="D94" s="91"/>
      <c r="E94" s="87"/>
      <c r="F94" s="87"/>
      <c r="G94" s="87"/>
      <c r="H94" s="87"/>
      <c r="I94" s="87"/>
      <c r="J94" s="87"/>
      <c r="K94" s="87"/>
      <c r="L94" s="105"/>
      <c r="M94" s="105"/>
      <c r="N94" s="105"/>
      <c r="O94" s="105"/>
      <c r="P94" s="105"/>
      <c r="Q94" s="105"/>
      <c r="R94" s="105"/>
      <c r="S94" s="68"/>
      <c r="T94" s="68"/>
      <c r="U94" s="68"/>
      <c r="V94" s="68"/>
      <c r="W94" s="68"/>
      <c r="X94" s="68"/>
      <c r="Y94" s="68"/>
      <c r="Z94" s="68"/>
      <c r="AA94" s="68"/>
      <c r="AB94" s="68"/>
      <c r="AC94" s="68"/>
    </row>
    <row r="95" spans="1:29" ht="19.2" x14ac:dyDescent="0.45">
      <c r="A95" s="92"/>
      <c r="B95" s="92"/>
      <c r="C95" s="88"/>
      <c r="D95" s="92"/>
      <c r="E95" s="89"/>
      <c r="F95" s="89"/>
      <c r="G95" s="89"/>
      <c r="H95" s="89"/>
      <c r="I95" s="89"/>
      <c r="J95" s="89"/>
      <c r="K95" s="89"/>
      <c r="L95" s="105"/>
      <c r="M95" s="105"/>
      <c r="N95" s="105"/>
      <c r="O95" s="105"/>
      <c r="P95" s="105"/>
      <c r="Q95" s="105"/>
      <c r="R95" s="105"/>
      <c r="S95" s="68"/>
      <c r="T95" s="68"/>
      <c r="U95" s="68"/>
      <c r="V95" s="68"/>
      <c r="W95" s="68"/>
      <c r="X95" s="68"/>
      <c r="Y95" s="68"/>
      <c r="Z95" s="68"/>
      <c r="AA95" s="68"/>
      <c r="AB95" s="68"/>
      <c r="AC95" s="68"/>
    </row>
    <row r="96" spans="1:29" ht="19.2" x14ac:dyDescent="0.45">
      <c r="A96" s="91"/>
      <c r="B96" s="91"/>
      <c r="C96" s="86"/>
      <c r="D96" s="91"/>
      <c r="E96" s="87"/>
      <c r="F96" s="87"/>
      <c r="G96" s="87"/>
      <c r="H96" s="87"/>
      <c r="I96" s="87"/>
      <c r="J96" s="87"/>
      <c r="K96" s="87"/>
      <c r="L96" s="105"/>
      <c r="M96" s="105"/>
      <c r="N96" s="105"/>
      <c r="O96" s="105"/>
      <c r="P96" s="105"/>
      <c r="Q96" s="105"/>
      <c r="R96" s="105"/>
      <c r="S96" s="68"/>
      <c r="T96" s="68"/>
      <c r="U96" s="68"/>
      <c r="V96" s="68"/>
      <c r="W96" s="68"/>
      <c r="X96" s="68"/>
      <c r="Y96" s="68"/>
      <c r="Z96" s="68"/>
      <c r="AA96" s="68"/>
      <c r="AB96" s="68"/>
      <c r="AC96" s="68"/>
    </row>
    <row r="97" spans="1:29" ht="19.2" x14ac:dyDescent="0.45">
      <c r="A97" s="92"/>
      <c r="B97" s="92"/>
      <c r="C97" s="88"/>
      <c r="D97" s="92"/>
      <c r="E97" s="89"/>
      <c r="F97" s="89"/>
      <c r="G97" s="89"/>
      <c r="H97" s="89"/>
      <c r="I97" s="89"/>
      <c r="J97" s="89"/>
      <c r="K97" s="89"/>
      <c r="L97" s="105"/>
      <c r="M97" s="105"/>
      <c r="N97" s="105"/>
      <c r="O97" s="105"/>
      <c r="P97" s="105"/>
      <c r="Q97" s="105"/>
      <c r="R97" s="105"/>
      <c r="S97" s="68"/>
      <c r="T97" s="68"/>
      <c r="U97" s="68"/>
      <c r="V97" s="68"/>
      <c r="W97" s="68"/>
      <c r="X97" s="68"/>
      <c r="Y97" s="68"/>
      <c r="Z97" s="68"/>
      <c r="AA97" s="68"/>
      <c r="AB97" s="68"/>
      <c r="AC97" s="68"/>
    </row>
    <row r="98" spans="1:29" ht="19.2" x14ac:dyDescent="0.45">
      <c r="A98" s="91"/>
      <c r="B98" s="91"/>
      <c r="C98" s="86"/>
      <c r="D98" s="91"/>
      <c r="E98" s="87"/>
      <c r="F98" s="87"/>
      <c r="G98" s="87"/>
      <c r="H98" s="87"/>
      <c r="I98" s="87"/>
      <c r="J98" s="87"/>
      <c r="K98" s="87"/>
      <c r="L98" s="105"/>
      <c r="M98" s="105"/>
      <c r="N98" s="105"/>
      <c r="O98" s="105"/>
      <c r="P98" s="105"/>
      <c r="Q98" s="105"/>
      <c r="R98" s="105"/>
      <c r="S98" s="68"/>
      <c r="T98" s="68"/>
      <c r="U98" s="68"/>
      <c r="V98" s="68"/>
      <c r="W98" s="68"/>
      <c r="X98" s="68"/>
      <c r="Y98" s="68"/>
      <c r="Z98" s="68"/>
      <c r="AA98" s="68"/>
      <c r="AB98" s="68"/>
      <c r="AC98" s="68"/>
    </row>
    <row r="99" spans="1:29" ht="19.2" x14ac:dyDescent="0.45">
      <c r="A99" s="92"/>
      <c r="B99" s="92"/>
      <c r="C99" s="88"/>
      <c r="D99" s="92"/>
      <c r="E99" s="89"/>
      <c r="F99" s="89"/>
      <c r="G99" s="89"/>
      <c r="H99" s="89"/>
      <c r="I99" s="89"/>
      <c r="J99" s="89"/>
      <c r="K99" s="89"/>
      <c r="L99" s="105"/>
      <c r="M99" s="105"/>
      <c r="N99" s="105"/>
      <c r="O99" s="105"/>
      <c r="P99" s="105"/>
      <c r="Q99" s="105"/>
      <c r="R99" s="105"/>
      <c r="S99" s="68"/>
      <c r="T99" s="68"/>
      <c r="U99" s="68"/>
      <c r="V99" s="68"/>
      <c r="W99" s="68"/>
      <c r="X99" s="68"/>
      <c r="Y99" s="68"/>
      <c r="Z99" s="68"/>
      <c r="AA99" s="68"/>
      <c r="AB99" s="68"/>
      <c r="AC99" s="68"/>
    </row>
    <row r="100" spans="1:29" ht="19.2" x14ac:dyDescent="0.45">
      <c r="A100" s="91"/>
      <c r="B100" s="91"/>
      <c r="C100" s="86"/>
      <c r="D100" s="91"/>
      <c r="E100" s="87"/>
      <c r="F100" s="87"/>
      <c r="G100" s="87"/>
      <c r="H100" s="87"/>
      <c r="I100" s="87"/>
      <c r="J100" s="87"/>
      <c r="K100" s="87"/>
      <c r="L100" s="105"/>
      <c r="M100" s="105"/>
      <c r="N100" s="105"/>
      <c r="O100" s="105"/>
      <c r="P100" s="105"/>
      <c r="Q100" s="105"/>
      <c r="R100" s="105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  <c r="AC100" s="68"/>
    </row>
    <row r="101" spans="1:29" x14ac:dyDescent="0.3">
      <c r="A101" s="69"/>
      <c r="B101" s="68"/>
      <c r="C101" s="68"/>
      <c r="D101" s="68"/>
      <c r="E101" s="68"/>
      <c r="F101" s="68"/>
      <c r="G101" s="68"/>
      <c r="H101" s="68"/>
      <c r="I101" s="68"/>
      <c r="J101" s="68"/>
      <c r="K101" s="68"/>
      <c r="L101" s="68"/>
      <c r="M101" s="68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  <c r="AC101" s="68"/>
    </row>
    <row r="102" spans="1:29" x14ac:dyDescent="0.3">
      <c r="A102" s="69"/>
      <c r="B102" s="68"/>
      <c r="C102" s="68"/>
      <c r="D102" s="68"/>
      <c r="E102" s="68"/>
      <c r="F102" s="68"/>
      <c r="G102" s="68"/>
      <c r="H102" s="68"/>
      <c r="I102" s="68"/>
      <c r="J102" s="68"/>
      <c r="K102" s="68"/>
      <c r="L102" s="68"/>
      <c r="M102" s="68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  <c r="AC102" s="68"/>
    </row>
    <row r="103" spans="1:29" x14ac:dyDescent="0.3">
      <c r="A103" s="69"/>
      <c r="B103" s="68"/>
      <c r="C103" s="68"/>
      <c r="D103" s="68"/>
      <c r="E103" s="68"/>
      <c r="F103" s="68"/>
      <c r="G103" s="68"/>
      <c r="H103" s="68"/>
      <c r="I103" s="68"/>
      <c r="J103" s="68"/>
      <c r="K103" s="68"/>
      <c r="L103" s="68"/>
      <c r="M103" s="68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  <c r="AC103" s="68"/>
    </row>
    <row r="104" spans="1:29" x14ac:dyDescent="0.3">
      <c r="A104" s="69"/>
      <c r="B104" s="68"/>
      <c r="C104" s="68"/>
      <c r="D104" s="68"/>
      <c r="E104" s="68"/>
      <c r="F104" s="68"/>
      <c r="G104" s="68"/>
      <c r="H104" s="68"/>
      <c r="I104" s="68"/>
      <c r="J104" s="68"/>
      <c r="K104" s="68"/>
      <c r="L104" s="68"/>
      <c r="M104" s="68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  <c r="AC104" s="68"/>
    </row>
    <row r="105" spans="1:29" x14ac:dyDescent="0.3">
      <c r="A105" s="69"/>
      <c r="B105" s="68"/>
      <c r="C105" s="68"/>
      <c r="D105" s="68"/>
      <c r="E105" s="68"/>
      <c r="F105" s="68"/>
      <c r="G105" s="68"/>
      <c r="H105" s="68"/>
      <c r="I105" s="68"/>
      <c r="J105" s="68"/>
      <c r="K105" s="68"/>
      <c r="L105" s="68"/>
      <c r="M105" s="68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  <c r="AC105" s="68"/>
    </row>
    <row r="106" spans="1:29" x14ac:dyDescent="0.3">
      <c r="A106" s="69"/>
      <c r="B106" s="68"/>
      <c r="C106" s="68"/>
      <c r="D106" s="68"/>
      <c r="E106" s="68"/>
      <c r="F106" s="68"/>
      <c r="G106" s="68"/>
      <c r="H106" s="68"/>
      <c r="I106" s="68"/>
      <c r="J106" s="68"/>
      <c r="K106" s="68"/>
      <c r="L106" s="68"/>
      <c r="M106" s="68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  <c r="AC106" s="68"/>
    </row>
    <row r="107" spans="1:29" x14ac:dyDescent="0.3">
      <c r="A107" s="69"/>
      <c r="B107" s="68"/>
      <c r="C107" s="68"/>
      <c r="D107" s="68"/>
      <c r="E107" s="68"/>
      <c r="F107" s="68"/>
      <c r="G107" s="68"/>
      <c r="H107" s="68"/>
      <c r="I107" s="68"/>
      <c r="J107" s="68"/>
      <c r="K107" s="68"/>
      <c r="L107" s="68"/>
      <c r="M107" s="68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  <c r="AC107" s="68"/>
    </row>
    <row r="108" spans="1:29" x14ac:dyDescent="0.3">
      <c r="A108" s="69"/>
      <c r="B108" s="68"/>
      <c r="C108" s="68"/>
      <c r="D108" s="68"/>
      <c r="E108" s="68"/>
      <c r="F108" s="68"/>
      <c r="G108" s="68"/>
      <c r="H108" s="68"/>
      <c r="I108" s="68"/>
      <c r="J108" s="68"/>
      <c r="K108" s="68"/>
      <c r="L108" s="68"/>
      <c r="M108" s="68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  <c r="AC108" s="68"/>
    </row>
    <row r="109" spans="1:29" x14ac:dyDescent="0.3">
      <c r="A109" s="69"/>
      <c r="B109" s="68"/>
      <c r="C109" s="68"/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  <c r="AC109" s="68"/>
    </row>
    <row r="110" spans="1:29" x14ac:dyDescent="0.3">
      <c r="A110" s="69"/>
      <c r="B110" s="68"/>
      <c r="C110" s="68"/>
      <c r="D110" s="68"/>
      <c r="E110" s="68"/>
      <c r="F110" s="68"/>
      <c r="G110" s="68"/>
      <c r="H110" s="68"/>
      <c r="I110" s="68"/>
      <c r="J110" s="68"/>
      <c r="K110" s="68"/>
      <c r="L110" s="68"/>
      <c r="M110" s="68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  <c r="AC110" s="68"/>
    </row>
    <row r="111" spans="1:29" x14ac:dyDescent="0.3">
      <c r="A111" s="69"/>
      <c r="B111" s="68"/>
      <c r="C111" s="68"/>
      <c r="D111" s="68"/>
      <c r="E111" s="68"/>
      <c r="F111" s="68"/>
      <c r="G111" s="68"/>
      <c r="H111" s="68"/>
      <c r="I111" s="68"/>
      <c r="J111" s="68"/>
      <c r="K111" s="68"/>
      <c r="L111" s="68"/>
      <c r="M111" s="68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  <c r="AC111" s="68"/>
    </row>
    <row r="112" spans="1:29" x14ac:dyDescent="0.3">
      <c r="A112" s="69"/>
      <c r="B112" s="68"/>
      <c r="C112" s="68"/>
      <c r="D112" s="68"/>
      <c r="E112" s="68"/>
      <c r="F112" s="68"/>
      <c r="G112" s="68"/>
      <c r="H112" s="68"/>
      <c r="I112" s="68"/>
      <c r="J112" s="68"/>
      <c r="K112" s="68"/>
      <c r="L112" s="68"/>
      <c r="M112" s="68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  <c r="AC112" s="68"/>
    </row>
    <row r="113" spans="1:29" x14ac:dyDescent="0.3">
      <c r="A113" s="69"/>
      <c r="B113" s="68"/>
      <c r="C113" s="68"/>
      <c r="D113" s="68"/>
      <c r="E113" s="68"/>
      <c r="F113" s="68"/>
      <c r="G113" s="68"/>
      <c r="H113" s="68"/>
      <c r="I113" s="68"/>
      <c r="J113" s="68"/>
      <c r="K113" s="68"/>
      <c r="L113" s="68"/>
      <c r="M113" s="68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  <c r="AC113" s="68"/>
    </row>
    <row r="114" spans="1:29" x14ac:dyDescent="0.3">
      <c r="A114" s="69"/>
      <c r="B114" s="68"/>
      <c r="C114" s="68"/>
      <c r="D114" s="68"/>
      <c r="E114" s="68"/>
      <c r="F114" s="68"/>
      <c r="G114" s="68"/>
      <c r="H114" s="68"/>
      <c r="I114" s="68"/>
      <c r="J114" s="68"/>
      <c r="K114" s="68"/>
      <c r="L114" s="68"/>
      <c r="M114" s="68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  <c r="AC114" s="68"/>
    </row>
    <row r="115" spans="1:29" x14ac:dyDescent="0.3">
      <c r="A115" s="69"/>
      <c r="B115" s="68"/>
      <c r="C115" s="68"/>
      <c r="D115" s="68"/>
      <c r="E115" s="68"/>
      <c r="F115" s="68"/>
      <c r="G115" s="68"/>
      <c r="H115" s="68"/>
      <c r="I115" s="68"/>
      <c r="J115" s="68"/>
      <c r="K115" s="68"/>
      <c r="L115" s="68"/>
      <c r="M115" s="68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  <c r="AC115" s="68"/>
    </row>
    <row r="116" spans="1:29" x14ac:dyDescent="0.3">
      <c r="A116" s="69"/>
      <c r="B116" s="68"/>
      <c r="C116" s="68"/>
      <c r="D116" s="68"/>
      <c r="E116" s="68"/>
      <c r="F116" s="68"/>
      <c r="G116" s="68"/>
      <c r="H116" s="68"/>
      <c r="I116" s="68"/>
      <c r="J116" s="68"/>
      <c r="K116" s="68"/>
      <c r="L116" s="68"/>
      <c r="M116" s="68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  <c r="AC116" s="68"/>
    </row>
    <row r="117" spans="1:29" x14ac:dyDescent="0.3">
      <c r="A117" s="69"/>
      <c r="B117" s="68"/>
      <c r="C117" s="68"/>
      <c r="D117" s="68"/>
      <c r="E117" s="68"/>
      <c r="F117" s="68"/>
      <c r="G117" s="68"/>
      <c r="H117" s="68"/>
      <c r="I117" s="68"/>
      <c r="J117" s="68"/>
      <c r="K117" s="68"/>
      <c r="L117" s="68"/>
      <c r="M117" s="68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  <c r="AC117" s="68"/>
    </row>
    <row r="118" spans="1:29" x14ac:dyDescent="0.3">
      <c r="A118" s="69"/>
      <c r="B118" s="68"/>
      <c r="C118" s="68"/>
      <c r="D118" s="68"/>
      <c r="E118" s="68"/>
      <c r="F118" s="68"/>
      <c r="G118" s="68"/>
      <c r="H118" s="68"/>
      <c r="I118" s="68"/>
      <c r="J118" s="68"/>
      <c r="K118" s="68"/>
      <c r="L118" s="68"/>
      <c r="M118" s="68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  <c r="AC118" s="68"/>
    </row>
    <row r="119" spans="1:29" x14ac:dyDescent="0.3">
      <c r="A119" s="69"/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68"/>
      <c r="M119" s="68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  <c r="AC119" s="68"/>
    </row>
    <row r="120" spans="1:29" x14ac:dyDescent="0.3">
      <c r="A120" s="69"/>
      <c r="B120" s="68"/>
      <c r="C120" s="68"/>
      <c r="D120" s="68"/>
      <c r="E120" s="68"/>
      <c r="F120" s="68"/>
      <c r="G120" s="68"/>
      <c r="H120" s="68"/>
      <c r="I120" s="68"/>
      <c r="J120" s="68"/>
      <c r="K120" s="68"/>
      <c r="L120" s="68"/>
      <c r="M120" s="68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8"/>
      <c r="Z120" s="68"/>
      <c r="AA120" s="68"/>
      <c r="AB120" s="68"/>
      <c r="AC120" s="68"/>
    </row>
    <row r="121" spans="1:29" x14ac:dyDescent="0.3">
      <c r="A121" s="69"/>
      <c r="B121" s="68"/>
      <c r="C121" s="68"/>
      <c r="D121" s="68"/>
      <c r="E121" s="68"/>
      <c r="F121" s="68"/>
      <c r="G121" s="68"/>
      <c r="H121" s="68"/>
      <c r="I121" s="68"/>
      <c r="J121" s="68"/>
      <c r="K121" s="68"/>
      <c r="L121" s="68"/>
      <c r="M121" s="68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8"/>
      <c r="Z121" s="68"/>
      <c r="AA121" s="68"/>
      <c r="AB121" s="68"/>
      <c r="AC121" s="68"/>
    </row>
    <row r="122" spans="1:29" x14ac:dyDescent="0.3">
      <c r="A122" s="69"/>
      <c r="B122" s="68"/>
      <c r="C122" s="68"/>
      <c r="D122" s="68"/>
      <c r="E122" s="68"/>
      <c r="F122" s="68"/>
      <c r="G122" s="68"/>
      <c r="H122" s="68"/>
      <c r="I122" s="68"/>
      <c r="J122" s="68"/>
      <c r="K122" s="68"/>
      <c r="L122" s="68"/>
      <c r="M122" s="68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8"/>
      <c r="Z122" s="68"/>
      <c r="AA122" s="68"/>
      <c r="AB122" s="68"/>
      <c r="AC122" s="68"/>
    </row>
    <row r="123" spans="1:29" x14ac:dyDescent="0.3">
      <c r="A123" s="69"/>
      <c r="B123" s="68"/>
      <c r="C123" s="68"/>
      <c r="D123" s="68"/>
      <c r="E123" s="68"/>
      <c r="F123" s="68"/>
      <c r="G123" s="68"/>
      <c r="H123" s="68"/>
      <c r="I123" s="68"/>
      <c r="J123" s="68"/>
      <c r="K123" s="68"/>
      <c r="L123" s="68"/>
      <c r="M123" s="68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8"/>
      <c r="Z123" s="68"/>
      <c r="AA123" s="68"/>
      <c r="AB123" s="68"/>
      <c r="AC123" s="68"/>
    </row>
    <row r="124" spans="1:29" x14ac:dyDescent="0.3">
      <c r="A124" s="69"/>
      <c r="B124" s="68"/>
      <c r="C124" s="68"/>
      <c r="D124" s="68"/>
      <c r="E124" s="68"/>
      <c r="F124" s="68"/>
      <c r="G124" s="68"/>
      <c r="H124" s="68"/>
      <c r="I124" s="68"/>
      <c r="J124" s="68"/>
      <c r="K124" s="68"/>
      <c r="L124" s="68"/>
      <c r="M124" s="68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8"/>
      <c r="Z124" s="68"/>
      <c r="AA124" s="68"/>
      <c r="AB124" s="68"/>
      <c r="AC124" s="68"/>
    </row>
    <row r="125" spans="1:29" x14ac:dyDescent="0.3">
      <c r="A125" s="69"/>
      <c r="B125" s="68"/>
      <c r="C125" s="68"/>
      <c r="D125" s="68"/>
      <c r="E125" s="68"/>
      <c r="F125" s="68"/>
      <c r="G125" s="68"/>
      <c r="H125" s="68"/>
      <c r="I125" s="68"/>
      <c r="J125" s="68"/>
      <c r="K125" s="68"/>
      <c r="L125" s="68"/>
      <c r="M125" s="68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  <c r="AC125" s="68"/>
    </row>
    <row r="126" spans="1:29" x14ac:dyDescent="0.3">
      <c r="A126" s="69"/>
      <c r="B126" s="68"/>
      <c r="C126" s="68"/>
      <c r="D126" s="68"/>
      <c r="E126" s="68"/>
      <c r="F126" s="68"/>
      <c r="G126" s="68"/>
      <c r="H126" s="68"/>
      <c r="I126" s="68"/>
      <c r="J126" s="68"/>
      <c r="K126" s="68"/>
      <c r="L126" s="68"/>
      <c r="M126" s="68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  <c r="AC126" s="68"/>
    </row>
    <row r="127" spans="1:29" x14ac:dyDescent="0.3">
      <c r="A127" s="69"/>
      <c r="B127" s="68"/>
      <c r="C127" s="68"/>
      <c r="D127" s="68"/>
      <c r="E127" s="68"/>
      <c r="F127" s="68"/>
      <c r="G127" s="68"/>
      <c r="H127" s="68"/>
      <c r="I127" s="68"/>
      <c r="J127" s="68"/>
      <c r="K127" s="68"/>
      <c r="L127" s="68"/>
      <c r="M127" s="68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  <c r="AC127" s="68"/>
    </row>
    <row r="128" spans="1:29" x14ac:dyDescent="0.3">
      <c r="A128" s="69"/>
      <c r="B128" s="68"/>
      <c r="C128" s="68"/>
      <c r="D128" s="68"/>
      <c r="E128" s="68"/>
      <c r="F128" s="68"/>
      <c r="G128" s="68"/>
      <c r="H128" s="68"/>
      <c r="I128" s="68"/>
      <c r="J128" s="68"/>
      <c r="K128" s="68"/>
      <c r="L128" s="68"/>
      <c r="M128" s="68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  <c r="AC128" s="68"/>
    </row>
    <row r="129" spans="1:29" x14ac:dyDescent="0.3">
      <c r="A129" s="69"/>
      <c r="B129" s="68"/>
      <c r="C129" s="68"/>
      <c r="D129" s="68"/>
      <c r="E129" s="68"/>
      <c r="F129" s="68"/>
      <c r="G129" s="68"/>
      <c r="H129" s="68"/>
      <c r="I129" s="68"/>
      <c r="J129" s="68"/>
      <c r="K129" s="68"/>
      <c r="L129" s="68"/>
      <c r="M129" s="68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  <c r="AC129" s="68"/>
    </row>
    <row r="130" spans="1:29" x14ac:dyDescent="0.3">
      <c r="A130" s="69"/>
      <c r="B130" s="68"/>
      <c r="C130" s="68"/>
      <c r="D130" s="68"/>
      <c r="E130" s="68"/>
      <c r="F130" s="68"/>
      <c r="G130" s="68"/>
      <c r="H130" s="68"/>
      <c r="I130" s="68"/>
      <c r="J130" s="68"/>
      <c r="K130" s="68"/>
      <c r="L130" s="68"/>
      <c r="M130" s="68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  <c r="AC130" s="68"/>
    </row>
    <row r="131" spans="1:29" x14ac:dyDescent="0.3">
      <c r="A131" s="69"/>
      <c r="B131" s="68"/>
      <c r="C131" s="68"/>
      <c r="D131" s="68"/>
      <c r="E131" s="68"/>
      <c r="F131" s="68"/>
      <c r="G131" s="68"/>
      <c r="H131" s="68"/>
      <c r="I131" s="68"/>
      <c r="J131" s="68"/>
      <c r="K131" s="68"/>
      <c r="L131" s="68"/>
      <c r="M131" s="68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  <c r="AC131" s="68"/>
    </row>
    <row r="132" spans="1:29" x14ac:dyDescent="0.3">
      <c r="A132" s="69"/>
      <c r="B132" s="68"/>
      <c r="C132" s="68"/>
      <c r="D132" s="68"/>
      <c r="E132" s="68"/>
      <c r="F132" s="68"/>
      <c r="G132" s="68"/>
      <c r="H132" s="68"/>
      <c r="I132" s="68"/>
      <c r="J132" s="68"/>
      <c r="K132" s="68"/>
      <c r="L132" s="68"/>
      <c r="M132" s="68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  <c r="AC132" s="68"/>
    </row>
    <row r="133" spans="1:29" x14ac:dyDescent="0.3">
      <c r="A133" s="69"/>
      <c r="B133" s="68"/>
      <c r="C133" s="68"/>
      <c r="D133" s="68"/>
      <c r="E133" s="68"/>
      <c r="F133" s="68"/>
      <c r="G133" s="68"/>
      <c r="H133" s="68"/>
      <c r="I133" s="68"/>
      <c r="J133" s="68"/>
      <c r="K133" s="68"/>
      <c r="L133" s="68"/>
      <c r="M133" s="68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  <c r="AC133" s="68"/>
    </row>
    <row r="134" spans="1:29" x14ac:dyDescent="0.3">
      <c r="A134" s="69"/>
      <c r="B134" s="68"/>
      <c r="C134" s="68"/>
      <c r="D134" s="68"/>
      <c r="E134" s="68"/>
      <c r="F134" s="68"/>
      <c r="G134" s="68"/>
      <c r="H134" s="68"/>
      <c r="I134" s="68"/>
      <c r="J134" s="68"/>
      <c r="K134" s="68"/>
      <c r="L134" s="68"/>
      <c r="M134" s="68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  <c r="AC134" s="68"/>
    </row>
    <row r="135" spans="1:29" x14ac:dyDescent="0.3">
      <c r="A135" s="69"/>
      <c r="B135" s="68"/>
      <c r="C135" s="68"/>
      <c r="D135" s="68"/>
      <c r="E135" s="68"/>
      <c r="F135" s="68"/>
      <c r="G135" s="68"/>
      <c r="H135" s="68"/>
      <c r="I135" s="68"/>
      <c r="J135" s="68"/>
      <c r="K135" s="68"/>
      <c r="L135" s="68"/>
      <c r="M135" s="68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  <c r="AC135" s="68"/>
    </row>
    <row r="136" spans="1:29" x14ac:dyDescent="0.3">
      <c r="A136" s="69"/>
      <c r="B136" s="68"/>
      <c r="C136" s="68"/>
      <c r="D136" s="68"/>
      <c r="E136" s="68"/>
      <c r="F136" s="68"/>
      <c r="G136" s="68"/>
      <c r="H136" s="68"/>
      <c r="I136" s="68"/>
      <c r="J136" s="68"/>
      <c r="K136" s="68"/>
      <c r="L136" s="68"/>
      <c r="M136" s="68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  <c r="AC136" s="68"/>
    </row>
    <row r="137" spans="1:29" x14ac:dyDescent="0.3">
      <c r="A137" s="69"/>
      <c r="B137" s="68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68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  <c r="AC137" s="68"/>
    </row>
    <row r="138" spans="1:29" x14ac:dyDescent="0.3">
      <c r="A138" s="69"/>
      <c r="B138" s="68"/>
      <c r="C138" s="68"/>
      <c r="D138" s="68"/>
      <c r="E138" s="68"/>
      <c r="F138" s="68"/>
      <c r="G138" s="68"/>
      <c r="H138" s="68"/>
      <c r="I138" s="68"/>
      <c r="J138" s="68"/>
      <c r="K138" s="68"/>
      <c r="L138" s="68"/>
      <c r="M138" s="68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  <c r="AC138" s="68"/>
    </row>
    <row r="139" spans="1:29" x14ac:dyDescent="0.3">
      <c r="A139" s="69"/>
      <c r="B139" s="68"/>
      <c r="C139" s="68"/>
      <c r="D139" s="68"/>
      <c r="E139" s="68"/>
      <c r="F139" s="68"/>
      <c r="G139" s="68"/>
      <c r="H139" s="68"/>
      <c r="I139" s="68"/>
      <c r="J139" s="68"/>
      <c r="K139" s="68"/>
      <c r="L139" s="68"/>
      <c r="M139" s="68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  <c r="AC139" s="68"/>
    </row>
    <row r="140" spans="1:29" x14ac:dyDescent="0.3">
      <c r="A140" s="69"/>
      <c r="B140" s="68"/>
      <c r="C140" s="68"/>
      <c r="D140" s="68"/>
      <c r="E140" s="68"/>
      <c r="F140" s="68"/>
      <c r="G140" s="68"/>
      <c r="H140" s="68"/>
      <c r="I140" s="68"/>
      <c r="J140" s="68"/>
      <c r="K140" s="68"/>
      <c r="L140" s="68"/>
      <c r="M140" s="68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  <c r="AC140" s="68"/>
    </row>
    <row r="141" spans="1:29" x14ac:dyDescent="0.3">
      <c r="A141" s="69"/>
      <c r="B141" s="68"/>
      <c r="C141" s="68"/>
      <c r="D141" s="68"/>
      <c r="E141" s="68"/>
      <c r="F141" s="68"/>
      <c r="G141" s="68"/>
      <c r="H141" s="68"/>
      <c r="I141" s="68"/>
      <c r="J141" s="68"/>
      <c r="K141" s="68"/>
      <c r="L141" s="68"/>
      <c r="M141" s="6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  <c r="AC141" s="68"/>
    </row>
    <row r="142" spans="1:29" x14ac:dyDescent="0.3">
      <c r="A142" s="69"/>
      <c r="B142" s="68"/>
      <c r="C142" s="68"/>
      <c r="D142" s="68"/>
      <c r="E142" s="68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</row>
    <row r="143" spans="1:29" x14ac:dyDescent="0.3">
      <c r="A143" s="69"/>
      <c r="B143" s="68"/>
      <c r="C143" s="68"/>
      <c r="D143" s="68"/>
      <c r="E143" s="68"/>
      <c r="F143" s="68"/>
      <c r="G143" s="68"/>
      <c r="H143" s="68"/>
      <c r="I143" s="68"/>
      <c r="J143" s="68"/>
      <c r="K143" s="68"/>
      <c r="L143" s="68"/>
      <c r="M143" s="6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  <c r="AC143" s="68"/>
    </row>
    <row r="144" spans="1:29" x14ac:dyDescent="0.3">
      <c r="A144" s="69"/>
      <c r="B144" s="68"/>
      <c r="C144" s="68"/>
      <c r="D144" s="68"/>
      <c r="E144" s="68"/>
      <c r="F144" s="68"/>
      <c r="G144" s="68"/>
      <c r="H144" s="68"/>
      <c r="I144" s="68"/>
      <c r="J144" s="68"/>
      <c r="K144" s="68"/>
      <c r="L144" s="68"/>
      <c r="M144" s="6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  <c r="AC144" s="68"/>
    </row>
    <row r="145" spans="1:29" x14ac:dyDescent="0.3">
      <c r="A145" s="69"/>
      <c r="B145" s="68"/>
      <c r="C145" s="68"/>
      <c r="D145" s="68"/>
      <c r="E145" s="68"/>
      <c r="F145" s="68"/>
      <c r="G145" s="68"/>
      <c r="H145" s="68"/>
      <c r="I145" s="68"/>
      <c r="J145" s="68"/>
      <c r="K145" s="68"/>
      <c r="L145" s="68"/>
      <c r="M145" s="6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  <c r="AC145" s="68"/>
    </row>
    <row r="146" spans="1:29" x14ac:dyDescent="0.3">
      <c r="A146" s="69"/>
      <c r="B146" s="68"/>
      <c r="C146" s="68"/>
      <c r="D146" s="68"/>
      <c r="E146" s="68"/>
      <c r="F146" s="68"/>
      <c r="G146" s="68"/>
      <c r="H146" s="68"/>
      <c r="I146" s="68"/>
      <c r="J146" s="68"/>
      <c r="K146" s="68"/>
      <c r="L146" s="68"/>
      <c r="M146" s="6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  <c r="AC146" s="68"/>
    </row>
    <row r="147" spans="1:29" x14ac:dyDescent="0.3">
      <c r="A147" s="69"/>
      <c r="B147" s="68"/>
      <c r="C147" s="68"/>
      <c r="D147" s="68"/>
      <c r="E147" s="68"/>
      <c r="F147" s="68"/>
      <c r="G147" s="68"/>
      <c r="H147" s="68"/>
      <c r="I147" s="68"/>
      <c r="J147" s="68"/>
      <c r="K147" s="68"/>
      <c r="L147" s="68"/>
      <c r="M147" s="6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  <c r="AC147" s="68"/>
    </row>
    <row r="148" spans="1:29" x14ac:dyDescent="0.3">
      <c r="A148" s="69"/>
      <c r="B148" s="68"/>
      <c r="C148" s="68"/>
      <c r="D148" s="68"/>
      <c r="E148" s="68"/>
      <c r="F148" s="68"/>
      <c r="G148" s="68"/>
      <c r="H148" s="68"/>
      <c r="I148" s="68"/>
      <c r="J148" s="68"/>
      <c r="K148" s="68"/>
      <c r="L148" s="68"/>
      <c r="M148" s="6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  <c r="AC148" s="68"/>
    </row>
    <row r="149" spans="1:29" x14ac:dyDescent="0.3">
      <c r="A149" s="69"/>
      <c r="B149" s="68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6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  <c r="AC149" s="68"/>
    </row>
    <row r="150" spans="1:29" x14ac:dyDescent="0.3">
      <c r="A150" s="69"/>
      <c r="B150" s="68"/>
      <c r="C150" s="68"/>
      <c r="D150" s="68"/>
      <c r="E150" s="68"/>
      <c r="F150" s="68"/>
      <c r="G150" s="68"/>
      <c r="H150" s="68"/>
      <c r="I150" s="68"/>
      <c r="J150" s="68"/>
      <c r="K150" s="68"/>
      <c r="L150" s="68"/>
      <c r="M150" s="6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  <c r="AC150" s="68"/>
    </row>
    <row r="151" spans="1:29" x14ac:dyDescent="0.3">
      <c r="A151" s="69"/>
      <c r="B151" s="68"/>
      <c r="C151" s="68"/>
      <c r="D151" s="68"/>
      <c r="E151" s="68"/>
      <c r="F151" s="68"/>
      <c r="G151" s="68"/>
      <c r="H151" s="68"/>
      <c r="I151" s="68"/>
      <c r="J151" s="68"/>
      <c r="K151" s="68"/>
      <c r="L151" s="68"/>
      <c r="M151" s="6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  <c r="AC151" s="68"/>
    </row>
    <row r="152" spans="1:29" x14ac:dyDescent="0.3">
      <c r="A152" s="69"/>
      <c r="B152" s="68"/>
      <c r="C152" s="68"/>
      <c r="D152" s="68"/>
      <c r="E152" s="68"/>
      <c r="F152" s="68"/>
      <c r="G152" s="68"/>
      <c r="H152" s="68"/>
      <c r="I152" s="68"/>
      <c r="J152" s="68"/>
      <c r="K152" s="68"/>
      <c r="L152" s="68"/>
      <c r="M152" s="6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  <c r="AC152" s="68"/>
    </row>
    <row r="153" spans="1:29" x14ac:dyDescent="0.3">
      <c r="A153" s="69"/>
      <c r="B153" s="68"/>
      <c r="C153" s="68"/>
      <c r="D153" s="68"/>
      <c r="E153" s="68"/>
      <c r="F153" s="68"/>
      <c r="G153" s="68"/>
      <c r="H153" s="68"/>
      <c r="I153" s="68"/>
      <c r="J153" s="68"/>
      <c r="K153" s="68"/>
      <c r="L153" s="68"/>
      <c r="M153" s="6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  <c r="AC153" s="68"/>
    </row>
    <row r="154" spans="1:29" x14ac:dyDescent="0.3">
      <c r="A154" s="69"/>
      <c r="B154" s="68"/>
      <c r="C154" s="68"/>
      <c r="D154" s="68"/>
      <c r="E154" s="68"/>
      <c r="F154" s="68"/>
      <c r="G154" s="68"/>
      <c r="H154" s="68"/>
      <c r="I154" s="68"/>
      <c r="J154" s="68"/>
      <c r="K154" s="68"/>
      <c r="L154" s="68"/>
      <c r="M154" s="6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  <c r="AC154" s="68"/>
    </row>
    <row r="155" spans="1:29" x14ac:dyDescent="0.3">
      <c r="A155" s="69"/>
      <c r="B155" s="68"/>
      <c r="C155" s="68"/>
      <c r="D155" s="68"/>
      <c r="E155" s="68"/>
      <c r="F155" s="68"/>
      <c r="G155" s="68"/>
      <c r="H155" s="68"/>
      <c r="I155" s="68"/>
      <c r="J155" s="68"/>
      <c r="K155" s="68"/>
      <c r="L155" s="68"/>
      <c r="M155" s="6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  <c r="AC155" s="68"/>
    </row>
    <row r="156" spans="1:29" x14ac:dyDescent="0.3">
      <c r="A156" s="69"/>
      <c r="B156" s="68"/>
      <c r="C156" s="68"/>
      <c r="D156" s="68"/>
      <c r="E156" s="68"/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</row>
    <row r="157" spans="1:29" x14ac:dyDescent="0.3">
      <c r="A157" s="69"/>
      <c r="B157" s="68"/>
      <c r="C157" s="68"/>
      <c r="D157" s="68"/>
      <c r="E157" s="68"/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</row>
    <row r="158" spans="1:29" x14ac:dyDescent="0.3">
      <c r="A158" s="69"/>
      <c r="B158" s="68"/>
      <c r="C158" s="68"/>
      <c r="D158" s="68"/>
      <c r="E158" s="68"/>
      <c r="F158" s="68"/>
      <c r="G158" s="68"/>
      <c r="H158" s="68"/>
      <c r="I158" s="68"/>
      <c r="J158" s="68"/>
      <c r="K158" s="68"/>
      <c r="L158" s="68"/>
      <c r="M158" s="6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  <c r="AC158" s="68"/>
    </row>
    <row r="159" spans="1:29" x14ac:dyDescent="0.3">
      <c r="A159" s="69"/>
      <c r="B159" s="68"/>
      <c r="C159" s="68"/>
      <c r="D159" s="68"/>
      <c r="E159" s="68"/>
      <c r="F159" s="68"/>
      <c r="G159" s="68"/>
      <c r="H159" s="68"/>
      <c r="I159" s="68"/>
      <c r="J159" s="68"/>
      <c r="K159" s="68"/>
      <c r="L159" s="68"/>
      <c r="M159" s="6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  <c r="AC159" s="68"/>
    </row>
    <row r="160" spans="1:29" x14ac:dyDescent="0.3">
      <c r="A160" s="69"/>
      <c r="B160" s="68"/>
      <c r="C160" s="68"/>
      <c r="D160" s="68"/>
      <c r="E160" s="68"/>
      <c r="F160" s="68"/>
      <c r="G160" s="68"/>
      <c r="H160" s="68"/>
      <c r="I160" s="68"/>
      <c r="J160" s="68"/>
      <c r="K160" s="68"/>
      <c r="L160" s="68"/>
      <c r="M160" s="6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  <c r="AC160" s="68"/>
    </row>
    <row r="161" spans="1:29" x14ac:dyDescent="0.3">
      <c r="A161" s="69"/>
      <c r="B161" s="68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6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  <c r="AC161" s="68"/>
    </row>
    <row r="162" spans="1:29" x14ac:dyDescent="0.3">
      <c r="A162" s="69"/>
      <c r="B162" s="68"/>
      <c r="C162" s="68"/>
      <c r="D162" s="68"/>
      <c r="E162" s="68"/>
      <c r="F162" s="68"/>
      <c r="G162" s="68"/>
      <c r="H162" s="68"/>
      <c r="I162" s="68"/>
      <c r="J162" s="68"/>
      <c r="K162" s="68"/>
      <c r="L162" s="68"/>
      <c r="M162" s="6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  <c r="AC162" s="68"/>
    </row>
    <row r="163" spans="1:29" x14ac:dyDescent="0.3">
      <c r="A163" s="69"/>
      <c r="B163" s="68"/>
      <c r="C163" s="68"/>
      <c r="D163" s="68"/>
      <c r="E163" s="68"/>
      <c r="F163" s="68"/>
      <c r="G163" s="68"/>
      <c r="H163" s="68"/>
      <c r="I163" s="68"/>
      <c r="J163" s="68"/>
      <c r="K163" s="68"/>
      <c r="L163" s="68"/>
      <c r="M163" s="6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  <c r="AC163" s="68"/>
    </row>
    <row r="164" spans="1:29" x14ac:dyDescent="0.3">
      <c r="A164" s="69"/>
      <c r="B164" s="68"/>
      <c r="C164" s="68"/>
      <c r="D164" s="68"/>
      <c r="E164" s="68"/>
      <c r="F164" s="68"/>
      <c r="G164" s="68"/>
      <c r="H164" s="68"/>
      <c r="I164" s="68"/>
      <c r="J164" s="68"/>
      <c r="K164" s="68"/>
      <c r="L164" s="68"/>
      <c r="M164" s="6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  <c r="AC164" s="68"/>
    </row>
    <row r="165" spans="1:29" x14ac:dyDescent="0.3">
      <c r="A165" s="69"/>
      <c r="B165" s="68"/>
      <c r="C165" s="68"/>
      <c r="D165" s="68"/>
      <c r="E165" s="68"/>
      <c r="F165" s="68"/>
      <c r="G165" s="68"/>
      <c r="H165" s="68"/>
      <c r="I165" s="68"/>
      <c r="J165" s="68"/>
      <c r="K165" s="68"/>
      <c r="L165" s="68"/>
      <c r="M165" s="6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  <c r="AC165" s="68"/>
    </row>
    <row r="166" spans="1:29" x14ac:dyDescent="0.3">
      <c r="A166" s="69"/>
      <c r="B166" s="68"/>
      <c r="C166" s="68"/>
      <c r="D166" s="68"/>
      <c r="E166" s="68"/>
      <c r="F166" s="68"/>
      <c r="G166" s="68"/>
      <c r="H166" s="68"/>
      <c r="I166" s="68"/>
      <c r="J166" s="68"/>
      <c r="K166" s="68"/>
      <c r="L166" s="68"/>
      <c r="M166" s="6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  <c r="AC166" s="68"/>
    </row>
    <row r="167" spans="1:29" x14ac:dyDescent="0.3">
      <c r="A167" s="69"/>
      <c r="B167" s="68"/>
      <c r="C167" s="68"/>
      <c r="D167" s="68"/>
      <c r="E167" s="68"/>
      <c r="F167" s="68"/>
      <c r="G167" s="68"/>
      <c r="H167" s="68"/>
      <c r="I167" s="68"/>
      <c r="J167" s="68"/>
      <c r="K167" s="68"/>
      <c r="L167" s="68"/>
      <c r="M167" s="6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  <c r="AC167" s="68"/>
    </row>
    <row r="168" spans="1:29" x14ac:dyDescent="0.3">
      <c r="A168" s="69"/>
      <c r="B168" s="68"/>
      <c r="C168" s="68"/>
      <c r="D168" s="68"/>
      <c r="E168" s="68"/>
      <c r="F168" s="68"/>
      <c r="G168" s="68"/>
      <c r="H168" s="68"/>
      <c r="I168" s="68"/>
      <c r="J168" s="68"/>
      <c r="K168" s="68"/>
      <c r="L168" s="68"/>
      <c r="M168" s="6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  <c r="AC168" s="68"/>
    </row>
    <row r="169" spans="1:29" x14ac:dyDescent="0.3">
      <c r="A169" s="69"/>
      <c r="B169" s="68"/>
      <c r="C169" s="68"/>
      <c r="D169" s="68"/>
      <c r="E169" s="68"/>
      <c r="F169" s="68"/>
      <c r="G169" s="68"/>
      <c r="H169" s="68"/>
      <c r="I169" s="68"/>
      <c r="J169" s="68"/>
      <c r="K169" s="68"/>
      <c r="L169" s="68"/>
      <c r="M169" s="6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  <c r="AC169" s="68"/>
    </row>
    <row r="170" spans="1:29" x14ac:dyDescent="0.3">
      <c r="A170" s="69"/>
      <c r="B170" s="68"/>
      <c r="C170" s="68"/>
      <c r="D170" s="68"/>
      <c r="E170" s="68"/>
      <c r="F170" s="68"/>
      <c r="G170" s="68"/>
      <c r="H170" s="68"/>
      <c r="I170" s="68"/>
      <c r="J170" s="68"/>
      <c r="K170" s="68"/>
      <c r="L170" s="68"/>
      <c r="M170" s="6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  <c r="AC170" s="68"/>
    </row>
    <row r="171" spans="1:29" x14ac:dyDescent="0.3">
      <c r="A171" s="69"/>
      <c r="B171" s="68"/>
      <c r="C171" s="68"/>
      <c r="D171" s="68"/>
      <c r="E171" s="68"/>
      <c r="F171" s="68"/>
      <c r="G171" s="68"/>
      <c r="H171" s="68"/>
      <c r="I171" s="68"/>
      <c r="J171" s="68"/>
      <c r="K171" s="68"/>
      <c r="L171" s="68"/>
      <c r="M171" s="6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  <c r="AC171" s="68"/>
    </row>
    <row r="172" spans="1:29" x14ac:dyDescent="0.3">
      <c r="A172" s="69"/>
      <c r="B172" s="68"/>
      <c r="C172" s="68"/>
      <c r="D172" s="68"/>
      <c r="E172" s="68"/>
      <c r="F172" s="68"/>
      <c r="G172" s="68"/>
      <c r="H172" s="68"/>
      <c r="I172" s="68"/>
      <c r="J172" s="68"/>
      <c r="K172" s="68"/>
      <c r="L172" s="68"/>
      <c r="M172" s="6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  <c r="AC172" s="68"/>
    </row>
    <row r="173" spans="1:29" x14ac:dyDescent="0.3">
      <c r="A173" s="69"/>
      <c r="B173" s="68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6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  <c r="AC173" s="68"/>
    </row>
    <row r="174" spans="1:29" x14ac:dyDescent="0.3">
      <c r="A174" s="69"/>
      <c r="B174" s="68"/>
      <c r="C174" s="68"/>
      <c r="D174" s="68"/>
      <c r="E174" s="68"/>
      <c r="F174" s="68"/>
      <c r="G174" s="68"/>
      <c r="H174" s="68"/>
      <c r="I174" s="68"/>
      <c r="J174" s="68"/>
      <c r="K174" s="68"/>
      <c r="L174" s="68"/>
      <c r="M174" s="6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  <c r="AC174" s="68"/>
    </row>
    <row r="175" spans="1:29" x14ac:dyDescent="0.3">
      <c r="A175" s="69"/>
      <c r="B175" s="68"/>
      <c r="C175" s="68"/>
      <c r="D175" s="68"/>
      <c r="E175" s="68"/>
      <c r="F175" s="68"/>
      <c r="G175" s="68"/>
      <c r="H175" s="68"/>
      <c r="I175" s="68"/>
      <c r="J175" s="68"/>
      <c r="K175" s="68"/>
      <c r="L175" s="68"/>
      <c r="M175" s="6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  <c r="AC175" s="68"/>
    </row>
    <row r="176" spans="1:29" x14ac:dyDescent="0.3">
      <c r="A176" s="69"/>
      <c r="B176" s="68"/>
      <c r="C176" s="68"/>
      <c r="D176" s="68"/>
      <c r="E176" s="68"/>
      <c r="F176" s="68"/>
      <c r="G176" s="68"/>
      <c r="H176" s="68"/>
      <c r="I176" s="68"/>
      <c r="J176" s="68"/>
      <c r="K176" s="68"/>
      <c r="L176" s="68"/>
      <c r="M176" s="6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  <c r="AC176" s="68"/>
    </row>
    <row r="177" spans="1:29" x14ac:dyDescent="0.3">
      <c r="A177" s="69"/>
      <c r="B177" s="68"/>
      <c r="C177" s="68"/>
      <c r="D177" s="68"/>
      <c r="E177" s="68"/>
      <c r="F177" s="68"/>
      <c r="G177" s="68"/>
      <c r="H177" s="68"/>
      <c r="I177" s="68"/>
      <c r="J177" s="68"/>
      <c r="K177" s="68"/>
      <c r="L177" s="68"/>
      <c r="M177" s="6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  <c r="AC177" s="68"/>
    </row>
    <row r="178" spans="1:29" x14ac:dyDescent="0.3">
      <c r="A178" s="69"/>
      <c r="B178" s="68"/>
      <c r="C178" s="68"/>
      <c r="D178" s="68"/>
      <c r="E178" s="68"/>
      <c r="F178" s="68"/>
      <c r="G178" s="68"/>
      <c r="H178" s="68"/>
      <c r="I178" s="68"/>
      <c r="J178" s="68"/>
      <c r="K178" s="68"/>
      <c r="L178" s="68"/>
      <c r="M178" s="6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  <c r="AC178" s="68"/>
    </row>
    <row r="179" spans="1:29" x14ac:dyDescent="0.3">
      <c r="A179" s="69"/>
      <c r="B179" s="68"/>
      <c r="C179" s="68"/>
      <c r="D179" s="68"/>
      <c r="E179" s="68"/>
      <c r="F179" s="68"/>
      <c r="G179" s="68"/>
      <c r="H179" s="68"/>
      <c r="I179" s="68"/>
      <c r="J179" s="68"/>
      <c r="K179" s="68"/>
      <c r="L179" s="68"/>
      <c r="M179" s="6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  <c r="AC179" s="68"/>
    </row>
    <row r="180" spans="1:29" x14ac:dyDescent="0.3">
      <c r="A180" s="69"/>
      <c r="B180" s="68"/>
      <c r="C180" s="68"/>
      <c r="D180" s="68"/>
      <c r="E180" s="68"/>
      <c r="F180" s="68"/>
      <c r="G180" s="68"/>
      <c r="H180" s="68"/>
      <c r="I180" s="68"/>
      <c r="J180" s="68"/>
      <c r="K180" s="68"/>
      <c r="L180" s="68"/>
      <c r="M180" s="6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  <c r="AC180" s="68"/>
    </row>
    <row r="181" spans="1:29" x14ac:dyDescent="0.3">
      <c r="A181" s="69"/>
      <c r="B181" s="68"/>
      <c r="C181" s="68"/>
      <c r="D181" s="68"/>
      <c r="E181" s="68"/>
      <c r="F181" s="68"/>
      <c r="G181" s="68"/>
      <c r="H181" s="68"/>
      <c r="I181" s="68"/>
      <c r="J181" s="68"/>
      <c r="K181" s="68"/>
      <c r="L181" s="68"/>
      <c r="M181" s="6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  <c r="AC181" s="68"/>
    </row>
    <row r="182" spans="1:29" x14ac:dyDescent="0.3">
      <c r="A182" s="69"/>
      <c r="B182" s="68"/>
      <c r="C182" s="68"/>
      <c r="D182" s="68"/>
      <c r="E182" s="68"/>
      <c r="F182" s="68"/>
      <c r="G182" s="68"/>
      <c r="H182" s="68"/>
      <c r="I182" s="68"/>
      <c r="J182" s="68"/>
      <c r="K182" s="68"/>
      <c r="L182" s="68"/>
      <c r="M182" s="6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  <c r="AC182" s="68"/>
    </row>
    <row r="183" spans="1:29" x14ac:dyDescent="0.3">
      <c r="A183" s="69"/>
      <c r="B183" s="68"/>
      <c r="C183" s="68"/>
      <c r="D183" s="68"/>
      <c r="E183" s="68"/>
      <c r="F183" s="68"/>
      <c r="G183" s="68"/>
      <c r="H183" s="68"/>
      <c r="I183" s="68"/>
      <c r="J183" s="68"/>
      <c r="K183" s="68"/>
      <c r="L183" s="68"/>
      <c r="M183" s="6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  <c r="AC183" s="68"/>
    </row>
    <row r="184" spans="1:29" x14ac:dyDescent="0.3">
      <c r="A184" s="69"/>
      <c r="B184" s="68"/>
      <c r="C184" s="68"/>
      <c r="D184" s="68"/>
      <c r="E184" s="68"/>
      <c r="F184" s="68"/>
      <c r="G184" s="68"/>
      <c r="H184" s="68"/>
      <c r="I184" s="68"/>
      <c r="J184" s="68"/>
      <c r="K184" s="68"/>
      <c r="L184" s="68"/>
      <c r="M184" s="6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  <c r="AC184" s="68"/>
    </row>
    <row r="185" spans="1:29" x14ac:dyDescent="0.3">
      <c r="A185" s="69"/>
      <c r="B185" s="68"/>
      <c r="C185" s="68"/>
      <c r="D185" s="68"/>
      <c r="E185" s="68"/>
      <c r="F185" s="68"/>
      <c r="G185" s="68"/>
      <c r="H185" s="68"/>
      <c r="I185" s="68"/>
      <c r="J185" s="68"/>
      <c r="K185" s="68"/>
      <c r="L185" s="68"/>
      <c r="M185" s="68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8"/>
      <c r="Y185" s="68"/>
      <c r="Z185" s="68"/>
      <c r="AA185" s="68"/>
      <c r="AB185" s="68"/>
      <c r="AC185" s="68"/>
    </row>
    <row r="186" spans="1:29" x14ac:dyDescent="0.3">
      <c r="A186" s="69"/>
      <c r="B186" s="68"/>
      <c r="C186" s="68"/>
      <c r="D186" s="68"/>
      <c r="E186" s="68"/>
      <c r="F186" s="68"/>
      <c r="G186" s="68"/>
      <c r="H186" s="68"/>
      <c r="I186" s="68"/>
      <c r="J186" s="68"/>
      <c r="K186" s="68"/>
      <c r="L186" s="68"/>
      <c r="M186" s="68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8"/>
      <c r="Y186" s="68"/>
      <c r="Z186" s="68"/>
      <c r="AA186" s="68"/>
      <c r="AB186" s="68"/>
      <c r="AC186" s="68"/>
    </row>
    <row r="187" spans="1:29" x14ac:dyDescent="0.3">
      <c r="A187" s="69"/>
      <c r="B187" s="68"/>
      <c r="C187" s="68"/>
      <c r="D187" s="68"/>
      <c r="E187" s="68"/>
      <c r="F187" s="68"/>
      <c r="G187" s="68"/>
      <c r="H187" s="68"/>
      <c r="I187" s="68"/>
      <c r="J187" s="68"/>
      <c r="K187" s="68"/>
      <c r="L187" s="68"/>
      <c r="M187" s="68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8"/>
      <c r="Y187" s="68"/>
      <c r="Z187" s="68"/>
      <c r="AA187" s="68"/>
      <c r="AB187" s="68"/>
      <c r="AC187" s="68"/>
    </row>
    <row r="188" spans="1:29" x14ac:dyDescent="0.3">
      <c r="A188" s="69"/>
      <c r="B188" s="68"/>
      <c r="C188" s="68"/>
      <c r="D188" s="68"/>
      <c r="E188" s="68"/>
      <c r="F188" s="68"/>
      <c r="G188" s="68"/>
      <c r="H188" s="68"/>
      <c r="I188" s="68"/>
      <c r="J188" s="68"/>
      <c r="K188" s="68"/>
      <c r="L188" s="68"/>
      <c r="M188" s="68"/>
      <c r="N188" s="68"/>
      <c r="O188" s="68"/>
      <c r="P188" s="68"/>
      <c r="Q188" s="68"/>
      <c r="R188" s="68"/>
      <c r="S188" s="68"/>
      <c r="T188" s="68"/>
      <c r="U188" s="68"/>
      <c r="V188" s="68"/>
      <c r="W188" s="68"/>
      <c r="X188" s="68"/>
      <c r="Y188" s="68"/>
      <c r="Z188" s="68"/>
      <c r="AA188" s="68"/>
      <c r="AB188" s="68"/>
      <c r="AC188" s="68"/>
    </row>
    <row r="189" spans="1:29" x14ac:dyDescent="0.3">
      <c r="A189" s="69"/>
      <c r="B189" s="68"/>
      <c r="C189" s="68"/>
      <c r="D189" s="68"/>
      <c r="E189" s="68"/>
      <c r="F189" s="68"/>
      <c r="G189" s="68"/>
      <c r="H189" s="68"/>
      <c r="I189" s="68"/>
      <c r="J189" s="68"/>
      <c r="K189" s="68"/>
      <c r="L189" s="68"/>
      <c r="M189" s="68"/>
      <c r="N189" s="68"/>
      <c r="O189" s="68"/>
      <c r="P189" s="68"/>
      <c r="Q189" s="68"/>
      <c r="R189" s="68"/>
      <c r="S189" s="68"/>
      <c r="T189" s="68"/>
      <c r="U189" s="68"/>
      <c r="V189" s="68"/>
      <c r="W189" s="68"/>
      <c r="X189" s="68"/>
      <c r="Y189" s="68"/>
      <c r="Z189" s="68"/>
      <c r="AA189" s="68"/>
      <c r="AB189" s="68"/>
      <c r="AC189" s="68"/>
    </row>
    <row r="190" spans="1:29" x14ac:dyDescent="0.3">
      <c r="A190" s="69"/>
      <c r="B190" s="68"/>
      <c r="C190" s="68"/>
      <c r="D190" s="68"/>
      <c r="E190" s="68"/>
      <c r="F190" s="68"/>
      <c r="G190" s="68"/>
      <c r="H190" s="68"/>
      <c r="I190" s="68"/>
      <c r="J190" s="68"/>
      <c r="K190" s="68"/>
      <c r="L190" s="68"/>
      <c r="M190" s="68"/>
      <c r="N190" s="68"/>
      <c r="O190" s="68"/>
      <c r="P190" s="68"/>
      <c r="Q190" s="68"/>
      <c r="R190" s="68"/>
      <c r="S190" s="68"/>
      <c r="T190" s="68"/>
      <c r="U190" s="68"/>
      <c r="V190" s="68"/>
      <c r="W190" s="68"/>
      <c r="X190" s="68"/>
      <c r="Y190" s="68"/>
      <c r="Z190" s="68"/>
      <c r="AA190" s="68"/>
      <c r="AB190" s="68"/>
      <c r="AC190" s="68"/>
    </row>
    <row r="191" spans="1:29" x14ac:dyDescent="0.3">
      <c r="A191" s="69"/>
      <c r="B191" s="68"/>
      <c r="C191" s="68"/>
      <c r="D191" s="68"/>
      <c r="E191" s="68"/>
      <c r="F191" s="68"/>
      <c r="G191" s="68"/>
      <c r="H191" s="68"/>
      <c r="I191" s="68"/>
      <c r="J191" s="68"/>
      <c r="K191" s="68"/>
      <c r="L191" s="68"/>
      <c r="M191" s="68"/>
      <c r="N191" s="68"/>
      <c r="O191" s="68"/>
      <c r="P191" s="68"/>
      <c r="Q191" s="68"/>
      <c r="R191" s="68"/>
      <c r="S191" s="68"/>
      <c r="T191" s="68"/>
      <c r="U191" s="68"/>
      <c r="V191" s="68"/>
      <c r="W191" s="68"/>
      <c r="X191" s="68"/>
      <c r="Y191" s="68"/>
      <c r="Z191" s="68"/>
      <c r="AA191" s="68"/>
      <c r="AB191" s="68"/>
      <c r="AC191" s="68"/>
    </row>
    <row r="192" spans="1:29" x14ac:dyDescent="0.3">
      <c r="A192" s="69"/>
      <c r="B192" s="68"/>
      <c r="C192" s="68"/>
      <c r="D192" s="68"/>
      <c r="E192" s="68"/>
      <c r="F192" s="68"/>
      <c r="G192" s="68"/>
      <c r="H192" s="68"/>
      <c r="I192" s="68"/>
      <c r="J192" s="68"/>
      <c r="K192" s="68"/>
      <c r="L192" s="68"/>
      <c r="M192" s="68"/>
      <c r="N192" s="68"/>
      <c r="O192" s="68"/>
      <c r="P192" s="68"/>
      <c r="Q192" s="68"/>
      <c r="R192" s="68"/>
      <c r="S192" s="68"/>
      <c r="T192" s="68"/>
      <c r="U192" s="68"/>
      <c r="V192" s="68"/>
      <c r="W192" s="68"/>
      <c r="X192" s="68"/>
      <c r="Y192" s="68"/>
      <c r="Z192" s="68"/>
      <c r="AA192" s="68"/>
      <c r="AB192" s="68"/>
      <c r="AC192" s="68"/>
    </row>
    <row r="193" spans="1:29" x14ac:dyDescent="0.3">
      <c r="A193" s="69"/>
      <c r="B193" s="68"/>
      <c r="C193" s="68"/>
      <c r="D193" s="68"/>
      <c r="E193" s="68"/>
      <c r="F193" s="68"/>
      <c r="G193" s="68"/>
      <c r="H193" s="68"/>
      <c r="I193" s="68"/>
      <c r="J193" s="68"/>
      <c r="K193" s="68"/>
      <c r="L193" s="68"/>
      <c r="M193" s="68"/>
      <c r="N193" s="68"/>
      <c r="O193" s="68"/>
      <c r="P193" s="68"/>
      <c r="Q193" s="68"/>
      <c r="R193" s="68"/>
      <c r="S193" s="68"/>
      <c r="T193" s="68"/>
      <c r="U193" s="68"/>
      <c r="V193" s="68"/>
      <c r="W193" s="68"/>
      <c r="X193" s="68"/>
      <c r="Y193" s="68"/>
      <c r="Z193" s="68"/>
      <c r="AA193" s="68"/>
      <c r="AB193" s="68"/>
      <c r="AC193" s="68"/>
    </row>
    <row r="194" spans="1:29" x14ac:dyDescent="0.3">
      <c r="A194" s="69"/>
      <c r="B194" s="68"/>
      <c r="C194" s="68"/>
      <c r="D194" s="68"/>
      <c r="E194" s="68"/>
      <c r="F194" s="68"/>
      <c r="G194" s="68"/>
      <c r="H194" s="68"/>
      <c r="I194" s="68"/>
      <c r="J194" s="68"/>
      <c r="K194" s="68"/>
      <c r="L194" s="68"/>
      <c r="M194" s="68"/>
      <c r="N194" s="68"/>
      <c r="O194" s="68"/>
      <c r="P194" s="68"/>
      <c r="Q194" s="68"/>
      <c r="R194" s="68"/>
      <c r="S194" s="68"/>
      <c r="T194" s="68"/>
      <c r="U194" s="68"/>
      <c r="V194" s="68"/>
      <c r="W194" s="68"/>
      <c r="X194" s="68"/>
      <c r="Y194" s="68"/>
      <c r="Z194" s="68"/>
      <c r="AA194" s="68"/>
      <c r="AB194" s="68"/>
      <c r="AC194" s="68"/>
    </row>
    <row r="195" spans="1:29" x14ac:dyDescent="0.3">
      <c r="A195" s="69"/>
      <c r="B195" s="68"/>
      <c r="C195" s="68"/>
      <c r="D195" s="68"/>
      <c r="E195" s="68"/>
      <c r="F195" s="68"/>
      <c r="G195" s="68"/>
      <c r="H195" s="68"/>
      <c r="I195" s="68"/>
      <c r="J195" s="68"/>
      <c r="K195" s="68"/>
      <c r="L195" s="68"/>
      <c r="M195" s="68"/>
      <c r="N195" s="68"/>
      <c r="O195" s="68"/>
      <c r="P195" s="68"/>
      <c r="Q195" s="68"/>
      <c r="R195" s="68"/>
      <c r="S195" s="68"/>
      <c r="T195" s="68"/>
      <c r="U195" s="68"/>
      <c r="V195" s="68"/>
      <c r="W195" s="68"/>
      <c r="X195" s="68"/>
      <c r="Y195" s="68"/>
      <c r="Z195" s="68"/>
      <c r="AA195" s="68"/>
      <c r="AB195" s="68"/>
      <c r="AC195" s="68"/>
    </row>
    <row r="196" spans="1:29" x14ac:dyDescent="0.3">
      <c r="A196" s="69"/>
      <c r="B196" s="68"/>
      <c r="C196" s="68"/>
      <c r="D196" s="68"/>
      <c r="E196" s="68"/>
      <c r="F196" s="68"/>
      <c r="G196" s="68"/>
      <c r="H196" s="68"/>
      <c r="I196" s="68"/>
      <c r="J196" s="68"/>
      <c r="K196" s="68"/>
      <c r="L196" s="68"/>
      <c r="M196" s="68"/>
      <c r="N196" s="68"/>
      <c r="O196" s="68"/>
      <c r="P196" s="68"/>
      <c r="Q196" s="68"/>
      <c r="R196" s="68"/>
      <c r="S196" s="68"/>
      <c r="T196" s="68"/>
      <c r="U196" s="68"/>
      <c r="V196" s="68"/>
      <c r="W196" s="68"/>
      <c r="X196" s="68"/>
      <c r="Y196" s="68"/>
      <c r="Z196" s="68"/>
      <c r="AA196" s="68"/>
      <c r="AB196" s="68"/>
      <c r="AC196" s="68"/>
    </row>
    <row r="197" spans="1:29" x14ac:dyDescent="0.3">
      <c r="A197" s="69"/>
      <c r="B197" s="68"/>
      <c r="C197" s="68"/>
      <c r="D197" s="68"/>
      <c r="E197" s="68"/>
      <c r="F197" s="68"/>
      <c r="G197" s="68"/>
      <c r="H197" s="68"/>
      <c r="I197" s="68"/>
      <c r="J197" s="68"/>
      <c r="K197" s="68"/>
      <c r="L197" s="68"/>
      <c r="M197" s="68"/>
      <c r="N197" s="68"/>
      <c r="O197" s="68"/>
      <c r="P197" s="68"/>
      <c r="Q197" s="68"/>
      <c r="R197" s="68"/>
      <c r="S197" s="68"/>
      <c r="T197" s="68"/>
      <c r="U197" s="68"/>
      <c r="V197" s="68"/>
      <c r="W197" s="68"/>
      <c r="X197" s="68"/>
      <c r="Y197" s="68"/>
      <c r="Z197" s="68"/>
      <c r="AA197" s="68"/>
      <c r="AB197" s="68"/>
      <c r="AC197" s="68"/>
    </row>
    <row r="198" spans="1:29" x14ac:dyDescent="0.3">
      <c r="A198" s="69"/>
      <c r="B198" s="68"/>
      <c r="C198" s="68"/>
      <c r="D198" s="68"/>
      <c r="E198" s="68"/>
      <c r="F198" s="68"/>
      <c r="G198" s="68"/>
      <c r="H198" s="68"/>
      <c r="I198" s="68"/>
      <c r="J198" s="68"/>
      <c r="K198" s="68"/>
      <c r="L198" s="68"/>
      <c r="M198" s="68"/>
      <c r="N198" s="68"/>
      <c r="O198" s="68"/>
      <c r="P198" s="68"/>
      <c r="Q198" s="68"/>
      <c r="R198" s="68"/>
      <c r="S198" s="68"/>
      <c r="T198" s="68"/>
      <c r="U198" s="68"/>
      <c r="V198" s="68"/>
      <c r="W198" s="68"/>
      <c r="X198" s="68"/>
      <c r="Y198" s="68"/>
      <c r="Z198" s="68"/>
      <c r="AA198" s="68"/>
      <c r="AB198" s="68"/>
      <c r="AC198" s="68"/>
    </row>
    <row r="199" spans="1:29" x14ac:dyDescent="0.3">
      <c r="A199" s="69"/>
      <c r="B199" s="68"/>
      <c r="C199" s="68"/>
      <c r="D199" s="68"/>
      <c r="E199" s="68"/>
      <c r="F199" s="68"/>
      <c r="G199" s="68"/>
      <c r="H199" s="68"/>
      <c r="I199" s="68"/>
      <c r="J199" s="68"/>
      <c r="K199" s="68"/>
      <c r="L199" s="68"/>
      <c r="M199" s="68"/>
      <c r="N199" s="68"/>
      <c r="O199" s="68"/>
      <c r="P199" s="68"/>
      <c r="Q199" s="68"/>
      <c r="R199" s="68"/>
      <c r="S199" s="68"/>
      <c r="T199" s="68"/>
      <c r="U199" s="68"/>
      <c r="V199" s="68"/>
      <c r="W199" s="68"/>
      <c r="X199" s="68"/>
      <c r="Y199" s="68"/>
      <c r="Z199" s="68"/>
      <c r="AA199" s="68"/>
      <c r="AB199" s="68"/>
      <c r="AC199" s="68"/>
    </row>
    <row r="200" spans="1:29" x14ac:dyDescent="0.3">
      <c r="A200" s="69"/>
      <c r="B200" s="68"/>
      <c r="C200" s="68"/>
      <c r="D200" s="68"/>
      <c r="E200" s="68"/>
      <c r="F200" s="68"/>
      <c r="G200" s="68"/>
      <c r="H200" s="68"/>
      <c r="I200" s="68"/>
      <c r="J200" s="68"/>
      <c r="K200" s="68"/>
      <c r="L200" s="68"/>
      <c r="M200" s="68"/>
      <c r="N200" s="68"/>
      <c r="O200" s="68"/>
      <c r="P200" s="68"/>
      <c r="Q200" s="68"/>
      <c r="R200" s="68"/>
      <c r="S200" s="68"/>
      <c r="T200" s="68"/>
      <c r="U200" s="68"/>
      <c r="V200" s="68"/>
      <c r="W200" s="68"/>
      <c r="X200" s="68"/>
      <c r="Y200" s="68"/>
      <c r="Z200" s="68"/>
      <c r="AA200" s="68"/>
      <c r="AB200" s="68"/>
      <c r="AC200" s="68"/>
    </row>
    <row r="201" spans="1:29" x14ac:dyDescent="0.3">
      <c r="A201" s="69"/>
      <c r="B201" s="68"/>
      <c r="C201" s="68"/>
      <c r="D201" s="68"/>
      <c r="E201" s="68"/>
      <c r="F201" s="68"/>
      <c r="G201" s="68"/>
      <c r="H201" s="68"/>
      <c r="I201" s="68"/>
      <c r="J201" s="68"/>
      <c r="K201" s="68"/>
      <c r="L201" s="68"/>
      <c r="M201" s="68"/>
      <c r="N201" s="68"/>
      <c r="O201" s="68"/>
      <c r="P201" s="68"/>
      <c r="Q201" s="68"/>
      <c r="R201" s="68"/>
      <c r="S201" s="68"/>
      <c r="T201" s="68"/>
      <c r="U201" s="68"/>
      <c r="V201" s="68"/>
      <c r="W201" s="68"/>
      <c r="X201" s="68"/>
      <c r="Y201" s="68"/>
      <c r="Z201" s="68"/>
      <c r="AA201" s="68"/>
      <c r="AB201" s="68"/>
      <c r="AC201" s="68"/>
    </row>
    <row r="202" spans="1:29" x14ac:dyDescent="0.3">
      <c r="A202" s="69"/>
      <c r="B202" s="68"/>
      <c r="C202" s="68"/>
      <c r="D202" s="68"/>
      <c r="E202" s="68"/>
      <c r="F202" s="68"/>
      <c r="G202" s="68"/>
      <c r="H202" s="68"/>
      <c r="I202" s="68"/>
      <c r="J202" s="68"/>
      <c r="K202" s="68"/>
      <c r="L202" s="68"/>
      <c r="M202" s="68"/>
      <c r="N202" s="68"/>
      <c r="O202" s="68"/>
      <c r="P202" s="68"/>
      <c r="Q202" s="68"/>
      <c r="R202" s="68"/>
      <c r="S202" s="68"/>
      <c r="T202" s="68"/>
      <c r="U202" s="68"/>
      <c r="V202" s="68"/>
      <c r="W202" s="68"/>
      <c r="X202" s="68"/>
      <c r="Y202" s="68"/>
      <c r="Z202" s="68"/>
      <c r="AA202" s="68"/>
      <c r="AB202" s="68"/>
      <c r="AC202" s="68"/>
    </row>
    <row r="203" spans="1:29" x14ac:dyDescent="0.3">
      <c r="A203" s="69"/>
      <c r="B203" s="68"/>
      <c r="C203" s="68"/>
      <c r="D203" s="68"/>
      <c r="E203" s="68"/>
      <c r="F203" s="68"/>
      <c r="G203" s="68"/>
      <c r="H203" s="68"/>
      <c r="I203" s="68"/>
      <c r="J203" s="68"/>
      <c r="K203" s="68"/>
      <c r="L203" s="68"/>
      <c r="M203" s="68"/>
      <c r="N203" s="68"/>
      <c r="O203" s="68"/>
      <c r="P203" s="68"/>
      <c r="Q203" s="68"/>
      <c r="R203" s="68"/>
      <c r="S203" s="68"/>
      <c r="T203" s="68"/>
      <c r="U203" s="68"/>
      <c r="V203" s="68"/>
      <c r="W203" s="68"/>
      <c r="X203" s="68"/>
      <c r="Y203" s="68"/>
      <c r="Z203" s="68"/>
      <c r="AA203" s="68"/>
      <c r="AB203" s="68"/>
      <c r="AC203" s="68"/>
    </row>
    <row r="204" spans="1:29" x14ac:dyDescent="0.3">
      <c r="A204" s="69"/>
      <c r="B204" s="68"/>
      <c r="C204" s="68"/>
      <c r="D204" s="68"/>
      <c r="E204" s="68"/>
      <c r="F204" s="68"/>
      <c r="G204" s="68"/>
      <c r="H204" s="68"/>
      <c r="I204" s="68"/>
      <c r="J204" s="68"/>
      <c r="K204" s="68"/>
      <c r="L204" s="68"/>
      <c r="M204" s="68"/>
      <c r="N204" s="68"/>
      <c r="O204" s="68"/>
      <c r="P204" s="68"/>
      <c r="Q204" s="68"/>
      <c r="R204" s="68"/>
      <c r="S204" s="68"/>
      <c r="T204" s="68"/>
      <c r="U204" s="68"/>
      <c r="V204" s="68"/>
      <c r="W204" s="68"/>
      <c r="X204" s="68"/>
      <c r="Y204" s="68"/>
      <c r="Z204" s="68"/>
      <c r="AA204" s="68"/>
      <c r="AB204" s="68"/>
      <c r="AC204" s="68"/>
    </row>
    <row r="205" spans="1:29" x14ac:dyDescent="0.3">
      <c r="A205" s="69"/>
      <c r="B205" s="68"/>
      <c r="C205" s="68"/>
      <c r="D205" s="68"/>
      <c r="E205" s="68"/>
      <c r="F205" s="68"/>
      <c r="G205" s="68"/>
      <c r="H205" s="68"/>
      <c r="I205" s="68"/>
      <c r="J205" s="68"/>
      <c r="K205" s="68"/>
      <c r="L205" s="68"/>
      <c r="M205" s="68"/>
      <c r="N205" s="68"/>
      <c r="O205" s="68"/>
      <c r="P205" s="68"/>
      <c r="Q205" s="68"/>
      <c r="R205" s="68"/>
      <c r="S205" s="68"/>
      <c r="T205" s="68"/>
      <c r="U205" s="68"/>
      <c r="V205" s="68"/>
      <c r="W205" s="68"/>
      <c r="X205" s="68"/>
      <c r="Y205" s="68"/>
      <c r="Z205" s="68"/>
      <c r="AA205" s="68"/>
      <c r="AB205" s="68"/>
      <c r="AC205" s="68"/>
    </row>
    <row r="206" spans="1:29" x14ac:dyDescent="0.3">
      <c r="A206" s="69"/>
      <c r="B206" s="68"/>
      <c r="C206" s="68"/>
      <c r="D206" s="68"/>
      <c r="E206" s="68"/>
      <c r="F206" s="68"/>
      <c r="G206" s="68"/>
      <c r="H206" s="68"/>
      <c r="I206" s="68"/>
      <c r="J206" s="68"/>
      <c r="K206" s="68"/>
      <c r="L206" s="68"/>
      <c r="M206" s="68"/>
      <c r="N206" s="68"/>
      <c r="O206" s="68"/>
      <c r="P206" s="68"/>
      <c r="Q206" s="68"/>
      <c r="R206" s="68"/>
      <c r="S206" s="68"/>
      <c r="T206" s="68"/>
      <c r="U206" s="68"/>
      <c r="V206" s="68"/>
      <c r="W206" s="68"/>
      <c r="X206" s="68"/>
      <c r="Y206" s="68"/>
      <c r="Z206" s="68"/>
      <c r="AA206" s="68"/>
      <c r="AB206" s="68"/>
      <c r="AC206" s="68"/>
    </row>
    <row r="207" spans="1:29" x14ac:dyDescent="0.3">
      <c r="A207" s="69"/>
      <c r="B207" s="68"/>
      <c r="C207" s="68"/>
      <c r="D207" s="68"/>
      <c r="E207" s="68"/>
      <c r="F207" s="68"/>
      <c r="G207" s="68"/>
      <c r="H207" s="68"/>
      <c r="I207" s="68"/>
      <c r="J207" s="68"/>
      <c r="K207" s="68"/>
      <c r="L207" s="68"/>
      <c r="M207" s="68"/>
      <c r="N207" s="68"/>
      <c r="O207" s="68"/>
      <c r="P207" s="68"/>
      <c r="Q207" s="68"/>
      <c r="R207" s="68"/>
      <c r="S207" s="68"/>
      <c r="T207" s="68"/>
      <c r="U207" s="68"/>
      <c r="V207" s="68"/>
      <c r="W207" s="68"/>
      <c r="X207" s="68"/>
      <c r="Y207" s="68"/>
      <c r="Z207" s="68"/>
      <c r="AA207" s="68"/>
      <c r="AB207" s="68"/>
      <c r="AC207" s="68"/>
    </row>
    <row r="208" spans="1:29" x14ac:dyDescent="0.3">
      <c r="A208" s="69"/>
      <c r="B208" s="68"/>
      <c r="C208" s="68"/>
      <c r="D208" s="68"/>
      <c r="E208" s="68"/>
      <c r="F208" s="68"/>
      <c r="G208" s="68"/>
      <c r="H208" s="68"/>
      <c r="I208" s="68"/>
      <c r="J208" s="68"/>
      <c r="K208" s="68"/>
      <c r="L208" s="68"/>
      <c r="M208" s="68"/>
      <c r="N208" s="68"/>
      <c r="O208" s="68"/>
      <c r="P208" s="68"/>
      <c r="Q208" s="68"/>
      <c r="R208" s="68"/>
      <c r="S208" s="68"/>
      <c r="T208" s="68"/>
      <c r="U208" s="68"/>
      <c r="V208" s="68"/>
      <c r="W208" s="68"/>
      <c r="X208" s="68"/>
      <c r="Y208" s="68"/>
      <c r="Z208" s="68"/>
      <c r="AA208" s="68"/>
      <c r="AB208" s="68"/>
      <c r="AC208" s="68"/>
    </row>
    <row r="209" spans="1:29" x14ac:dyDescent="0.3">
      <c r="A209" s="69"/>
      <c r="B209" s="68"/>
      <c r="C209" s="68"/>
      <c r="D209" s="68"/>
      <c r="E209" s="68"/>
      <c r="F209" s="68"/>
      <c r="G209" s="68"/>
      <c r="H209" s="68"/>
      <c r="I209" s="68"/>
      <c r="J209" s="68"/>
      <c r="K209" s="68"/>
      <c r="L209" s="68"/>
      <c r="M209" s="68"/>
      <c r="N209" s="68"/>
      <c r="O209" s="68"/>
      <c r="P209" s="68"/>
      <c r="Q209" s="68"/>
      <c r="R209" s="68"/>
      <c r="S209" s="68"/>
      <c r="T209" s="68"/>
      <c r="U209" s="68"/>
      <c r="V209" s="68"/>
      <c r="W209" s="68"/>
      <c r="X209" s="68"/>
      <c r="Y209" s="68"/>
      <c r="Z209" s="68"/>
      <c r="AA209" s="68"/>
      <c r="AB209" s="68"/>
      <c r="AC209" s="68"/>
    </row>
    <row r="210" spans="1:29" x14ac:dyDescent="0.3">
      <c r="A210" s="69"/>
      <c r="B210" s="68"/>
      <c r="C210" s="68"/>
      <c r="D210" s="68"/>
      <c r="E210" s="68"/>
      <c r="F210" s="68"/>
      <c r="G210" s="68"/>
      <c r="H210" s="68"/>
      <c r="I210" s="68"/>
      <c r="J210" s="68"/>
      <c r="K210" s="68"/>
      <c r="L210" s="68"/>
      <c r="M210" s="68"/>
      <c r="N210" s="68"/>
      <c r="O210" s="68"/>
      <c r="P210" s="68"/>
      <c r="Q210" s="68"/>
      <c r="R210" s="68"/>
      <c r="S210" s="68"/>
      <c r="T210" s="68"/>
      <c r="U210" s="68"/>
      <c r="V210" s="68"/>
      <c r="W210" s="68"/>
      <c r="X210" s="68"/>
      <c r="Y210" s="68"/>
      <c r="Z210" s="68"/>
      <c r="AA210" s="68"/>
      <c r="AB210" s="68"/>
      <c r="AC210" s="68"/>
    </row>
    <row r="211" spans="1:29" x14ac:dyDescent="0.3">
      <c r="A211" s="69"/>
      <c r="B211" s="68"/>
      <c r="C211" s="68"/>
      <c r="D211" s="68"/>
      <c r="E211" s="68"/>
      <c r="F211" s="68"/>
      <c r="G211" s="68"/>
      <c r="H211" s="68"/>
      <c r="I211" s="68"/>
      <c r="J211" s="68"/>
      <c r="K211" s="68"/>
      <c r="L211" s="68"/>
      <c r="M211" s="68"/>
      <c r="N211" s="68"/>
      <c r="O211" s="68"/>
      <c r="P211" s="68"/>
      <c r="Q211" s="68"/>
      <c r="R211" s="68"/>
      <c r="S211" s="68"/>
      <c r="T211" s="68"/>
      <c r="U211" s="68"/>
      <c r="V211" s="68"/>
      <c r="W211" s="68"/>
      <c r="X211" s="68"/>
      <c r="Y211" s="68"/>
      <c r="Z211" s="68"/>
      <c r="AA211" s="68"/>
      <c r="AB211" s="68"/>
      <c r="AC211" s="68"/>
    </row>
    <row r="212" spans="1:29" x14ac:dyDescent="0.3">
      <c r="A212" s="69"/>
      <c r="B212" s="68"/>
      <c r="C212" s="68"/>
      <c r="D212" s="68"/>
      <c r="E212" s="68"/>
      <c r="F212" s="68"/>
      <c r="G212" s="68"/>
      <c r="H212" s="68"/>
      <c r="I212" s="68"/>
      <c r="J212" s="68"/>
      <c r="K212" s="68"/>
      <c r="L212" s="68"/>
      <c r="M212" s="68"/>
      <c r="N212" s="68"/>
      <c r="O212" s="68"/>
      <c r="P212" s="68"/>
      <c r="Q212" s="68"/>
      <c r="R212" s="68"/>
      <c r="S212" s="68"/>
      <c r="T212" s="68"/>
      <c r="U212" s="68"/>
      <c r="V212" s="68"/>
      <c r="W212" s="68"/>
      <c r="X212" s="68"/>
      <c r="Y212" s="68"/>
      <c r="Z212" s="68"/>
      <c r="AA212" s="68"/>
      <c r="AB212" s="68"/>
      <c r="AC212" s="68"/>
    </row>
    <row r="213" spans="1:29" x14ac:dyDescent="0.3">
      <c r="A213" s="69"/>
      <c r="B213" s="68"/>
      <c r="C213" s="68"/>
      <c r="D213" s="68"/>
      <c r="E213" s="68"/>
      <c r="F213" s="68"/>
      <c r="G213" s="68"/>
      <c r="H213" s="68"/>
      <c r="I213" s="68"/>
      <c r="J213" s="68"/>
      <c r="K213" s="68"/>
      <c r="L213" s="68"/>
      <c r="M213" s="68"/>
      <c r="N213" s="68"/>
      <c r="O213" s="68"/>
      <c r="P213" s="68"/>
      <c r="Q213" s="68"/>
      <c r="R213" s="68"/>
      <c r="S213" s="68"/>
      <c r="T213" s="68"/>
      <c r="U213" s="68"/>
      <c r="V213" s="68"/>
      <c r="W213" s="68"/>
      <c r="X213" s="68"/>
      <c r="Y213" s="68"/>
      <c r="Z213" s="68"/>
      <c r="AA213" s="68"/>
      <c r="AB213" s="68"/>
      <c r="AC213" s="68"/>
    </row>
    <row r="214" spans="1:29" x14ac:dyDescent="0.3">
      <c r="A214" s="69"/>
      <c r="B214" s="68"/>
      <c r="C214" s="68"/>
      <c r="D214" s="68"/>
      <c r="E214" s="68"/>
      <c r="F214" s="68"/>
      <c r="G214" s="68"/>
      <c r="H214" s="68"/>
      <c r="I214" s="68"/>
      <c r="J214" s="68"/>
      <c r="K214" s="68"/>
      <c r="L214" s="68"/>
      <c r="M214" s="68"/>
      <c r="N214" s="68"/>
      <c r="O214" s="68"/>
      <c r="P214" s="68"/>
      <c r="Q214" s="68"/>
      <c r="R214" s="68"/>
      <c r="S214" s="68"/>
      <c r="T214" s="68"/>
      <c r="U214" s="68"/>
      <c r="V214" s="68"/>
      <c r="W214" s="68"/>
      <c r="X214" s="68"/>
      <c r="Y214" s="68"/>
      <c r="Z214" s="68"/>
      <c r="AA214" s="68"/>
      <c r="AB214" s="68"/>
      <c r="AC214" s="68"/>
    </row>
    <row r="215" spans="1:29" x14ac:dyDescent="0.3">
      <c r="A215" s="69"/>
      <c r="B215" s="68"/>
      <c r="C215" s="68"/>
      <c r="D215" s="68"/>
      <c r="E215" s="68"/>
      <c r="F215" s="68"/>
      <c r="G215" s="68"/>
      <c r="H215" s="68"/>
      <c r="I215" s="68"/>
      <c r="J215" s="68"/>
      <c r="K215" s="68"/>
      <c r="L215" s="68"/>
      <c r="M215" s="68"/>
      <c r="N215" s="68"/>
      <c r="O215" s="68"/>
      <c r="P215" s="68"/>
      <c r="Q215" s="68"/>
      <c r="R215" s="68"/>
      <c r="S215" s="68"/>
      <c r="T215" s="68"/>
      <c r="U215" s="68"/>
      <c r="V215" s="68"/>
      <c r="W215" s="68"/>
      <c r="X215" s="68"/>
      <c r="Y215" s="68"/>
      <c r="Z215" s="68"/>
      <c r="AA215" s="68"/>
      <c r="AB215" s="68"/>
      <c r="AC215" s="68"/>
    </row>
    <row r="216" spans="1:29" x14ac:dyDescent="0.3">
      <c r="A216" s="69"/>
      <c r="B216" s="68"/>
      <c r="C216" s="68"/>
      <c r="D216" s="68"/>
      <c r="E216" s="68"/>
      <c r="F216" s="68"/>
      <c r="G216" s="68"/>
      <c r="H216" s="68"/>
      <c r="I216" s="68"/>
      <c r="J216" s="68"/>
      <c r="K216" s="68"/>
      <c r="L216" s="68"/>
      <c r="M216" s="68"/>
      <c r="N216" s="68"/>
      <c r="O216" s="68"/>
      <c r="P216" s="68"/>
      <c r="Q216" s="68"/>
      <c r="R216" s="68"/>
      <c r="S216" s="68"/>
      <c r="T216" s="68"/>
      <c r="U216" s="68"/>
      <c r="V216" s="68"/>
      <c r="W216" s="68"/>
      <c r="X216" s="68"/>
      <c r="Y216" s="68"/>
      <c r="Z216" s="68"/>
      <c r="AA216" s="68"/>
      <c r="AB216" s="68"/>
      <c r="AC216" s="68"/>
    </row>
    <row r="217" spans="1:29" x14ac:dyDescent="0.3">
      <c r="A217" s="69"/>
      <c r="B217" s="68"/>
      <c r="C217" s="68"/>
      <c r="D217" s="68"/>
      <c r="E217" s="68"/>
      <c r="F217" s="68"/>
      <c r="G217" s="68"/>
      <c r="H217" s="68"/>
      <c r="I217" s="68"/>
      <c r="J217" s="68"/>
      <c r="K217" s="68"/>
      <c r="L217" s="68"/>
      <c r="M217" s="68"/>
      <c r="N217" s="68"/>
      <c r="O217" s="68"/>
      <c r="P217" s="68"/>
      <c r="Q217" s="68"/>
      <c r="R217" s="68"/>
      <c r="S217" s="68"/>
      <c r="T217" s="68"/>
      <c r="U217" s="68"/>
      <c r="V217" s="68"/>
      <c r="W217" s="68"/>
      <c r="X217" s="68"/>
      <c r="Y217" s="68"/>
      <c r="Z217" s="68"/>
      <c r="AA217" s="68"/>
      <c r="AB217" s="68"/>
      <c r="AC217" s="68"/>
    </row>
    <row r="218" spans="1:29" x14ac:dyDescent="0.3">
      <c r="A218" s="69"/>
      <c r="B218" s="68"/>
      <c r="C218" s="68"/>
      <c r="D218" s="68"/>
      <c r="E218" s="68"/>
      <c r="F218" s="68"/>
      <c r="G218" s="68"/>
      <c r="H218" s="68"/>
      <c r="I218" s="68"/>
      <c r="J218" s="68"/>
      <c r="K218" s="68"/>
      <c r="L218" s="68"/>
      <c r="M218" s="68"/>
      <c r="N218" s="68"/>
      <c r="O218" s="68"/>
      <c r="P218" s="68"/>
      <c r="Q218" s="68"/>
      <c r="R218" s="68"/>
      <c r="S218" s="68"/>
      <c r="T218" s="68"/>
      <c r="U218" s="68"/>
      <c r="V218" s="68"/>
      <c r="W218" s="68"/>
      <c r="X218" s="68"/>
      <c r="Y218" s="68"/>
      <c r="Z218" s="68"/>
      <c r="AA218" s="68"/>
      <c r="AB218" s="68"/>
      <c r="AC218" s="68"/>
    </row>
    <row r="219" spans="1:29" x14ac:dyDescent="0.3">
      <c r="A219" s="69"/>
      <c r="B219" s="68"/>
      <c r="C219" s="68"/>
      <c r="D219" s="68"/>
      <c r="E219" s="68"/>
      <c r="F219" s="68"/>
      <c r="G219" s="68"/>
      <c r="H219" s="68"/>
      <c r="I219" s="68"/>
      <c r="J219" s="68"/>
      <c r="K219" s="68"/>
      <c r="L219" s="68"/>
      <c r="M219" s="68"/>
      <c r="N219" s="68"/>
      <c r="O219" s="68"/>
      <c r="P219" s="68"/>
      <c r="Q219" s="68"/>
      <c r="R219" s="68"/>
      <c r="S219" s="68"/>
      <c r="T219" s="68"/>
      <c r="U219" s="68"/>
      <c r="V219" s="68"/>
      <c r="W219" s="68"/>
      <c r="X219" s="68"/>
      <c r="Y219" s="68"/>
      <c r="Z219" s="68"/>
      <c r="AA219" s="68"/>
      <c r="AB219" s="68"/>
      <c r="AC219" s="68"/>
    </row>
    <row r="220" spans="1:29" x14ac:dyDescent="0.3">
      <c r="A220" s="69"/>
      <c r="B220" s="68"/>
      <c r="C220" s="68"/>
      <c r="D220" s="68"/>
      <c r="E220" s="68"/>
      <c r="F220" s="68"/>
      <c r="G220" s="68"/>
      <c r="H220" s="68"/>
      <c r="I220" s="68"/>
      <c r="J220" s="68"/>
      <c r="K220" s="68"/>
      <c r="L220" s="68"/>
      <c r="M220" s="68"/>
      <c r="N220" s="68"/>
      <c r="O220" s="68"/>
      <c r="P220" s="68"/>
      <c r="Q220" s="68"/>
      <c r="R220" s="68"/>
      <c r="S220" s="68"/>
      <c r="T220" s="68"/>
      <c r="U220" s="68"/>
      <c r="V220" s="68"/>
      <c r="W220" s="68"/>
      <c r="X220" s="68"/>
      <c r="Y220" s="68"/>
      <c r="Z220" s="68"/>
      <c r="AA220" s="68"/>
      <c r="AB220" s="68"/>
      <c r="AC220" s="68"/>
    </row>
    <row r="221" spans="1:29" x14ac:dyDescent="0.3">
      <c r="A221" s="69"/>
      <c r="B221" s="68"/>
      <c r="C221" s="68"/>
      <c r="D221" s="68"/>
      <c r="E221" s="68"/>
      <c r="F221" s="68"/>
      <c r="G221" s="68"/>
      <c r="H221" s="68"/>
      <c r="I221" s="68"/>
      <c r="J221" s="68"/>
      <c r="K221" s="68"/>
      <c r="L221" s="68"/>
      <c r="M221" s="68"/>
      <c r="N221" s="68"/>
      <c r="O221" s="68"/>
      <c r="P221" s="68"/>
      <c r="Q221" s="68"/>
      <c r="R221" s="68"/>
      <c r="S221" s="68"/>
      <c r="T221" s="68"/>
      <c r="U221" s="68"/>
      <c r="V221" s="68"/>
      <c r="W221" s="68"/>
      <c r="X221" s="68"/>
      <c r="Y221" s="68"/>
      <c r="Z221" s="68"/>
      <c r="AA221" s="68"/>
      <c r="AB221" s="68"/>
      <c r="AC221" s="68"/>
    </row>
    <row r="222" spans="1:29" x14ac:dyDescent="0.3">
      <c r="A222" s="69"/>
      <c r="B222" s="68"/>
      <c r="C222" s="68"/>
      <c r="D222" s="68"/>
      <c r="E222" s="68"/>
      <c r="F222" s="68"/>
      <c r="G222" s="68"/>
      <c r="H222" s="68"/>
      <c r="I222" s="68"/>
      <c r="J222" s="68"/>
      <c r="K222" s="68"/>
      <c r="L222" s="68"/>
      <c r="M222" s="68"/>
      <c r="N222" s="68"/>
      <c r="O222" s="68"/>
      <c r="P222" s="68"/>
      <c r="Q222" s="68"/>
      <c r="R222" s="68"/>
      <c r="S222" s="68"/>
      <c r="T222" s="68"/>
      <c r="U222" s="68"/>
      <c r="V222" s="68"/>
      <c r="W222" s="68"/>
      <c r="X222" s="68"/>
      <c r="Y222" s="68"/>
      <c r="Z222" s="68"/>
      <c r="AA222" s="68"/>
      <c r="AB222" s="68"/>
      <c r="AC222" s="68"/>
    </row>
    <row r="223" spans="1:29" x14ac:dyDescent="0.3">
      <c r="A223" s="69"/>
      <c r="B223" s="68"/>
      <c r="C223" s="68"/>
      <c r="D223" s="68"/>
      <c r="E223" s="68"/>
      <c r="F223" s="68"/>
      <c r="G223" s="68"/>
      <c r="H223" s="68"/>
      <c r="I223" s="68"/>
      <c r="J223" s="68"/>
      <c r="K223" s="68"/>
      <c r="L223" s="68"/>
      <c r="M223" s="68"/>
      <c r="N223" s="68"/>
      <c r="O223" s="68"/>
      <c r="P223" s="68"/>
      <c r="Q223" s="68"/>
      <c r="R223" s="68"/>
      <c r="S223" s="68"/>
      <c r="T223" s="68"/>
      <c r="U223" s="68"/>
      <c r="V223" s="68"/>
      <c r="W223" s="68"/>
      <c r="X223" s="68"/>
      <c r="Y223" s="68"/>
      <c r="Z223" s="68"/>
      <c r="AA223" s="68"/>
      <c r="AB223" s="68"/>
      <c r="AC223" s="68"/>
    </row>
    <row r="224" spans="1:29" x14ac:dyDescent="0.3">
      <c r="A224" s="69"/>
      <c r="B224" s="68"/>
      <c r="C224" s="68"/>
      <c r="D224" s="68"/>
      <c r="E224" s="68"/>
      <c r="F224" s="68"/>
      <c r="G224" s="68"/>
      <c r="H224" s="68"/>
      <c r="I224" s="68"/>
      <c r="J224" s="68"/>
      <c r="K224" s="68"/>
      <c r="L224" s="68"/>
      <c r="M224" s="68"/>
      <c r="N224" s="68"/>
      <c r="O224" s="68"/>
      <c r="P224" s="68"/>
      <c r="Q224" s="68"/>
      <c r="R224" s="68"/>
      <c r="S224" s="68"/>
      <c r="T224" s="68"/>
      <c r="U224" s="68"/>
      <c r="V224" s="68"/>
      <c r="W224" s="68"/>
      <c r="X224" s="68"/>
      <c r="Y224" s="68"/>
      <c r="Z224" s="68"/>
      <c r="AA224" s="68"/>
      <c r="AB224" s="68"/>
      <c r="AC224" s="68"/>
    </row>
    <row r="225" spans="1:29" x14ac:dyDescent="0.3">
      <c r="A225" s="69"/>
      <c r="B225" s="68"/>
      <c r="C225" s="68"/>
      <c r="D225" s="68"/>
      <c r="E225" s="68"/>
      <c r="F225" s="68"/>
      <c r="G225" s="68"/>
      <c r="H225" s="68"/>
      <c r="I225" s="68"/>
      <c r="J225" s="68"/>
      <c r="K225" s="68"/>
      <c r="L225" s="68"/>
      <c r="M225" s="68"/>
      <c r="N225" s="68"/>
      <c r="O225" s="68"/>
      <c r="P225" s="68"/>
      <c r="Q225" s="68"/>
      <c r="R225" s="68"/>
      <c r="S225" s="68"/>
      <c r="T225" s="68"/>
      <c r="U225" s="68"/>
      <c r="V225" s="68"/>
      <c r="W225" s="68"/>
      <c r="X225" s="68"/>
      <c r="Y225" s="68"/>
      <c r="Z225" s="68"/>
      <c r="AA225" s="68"/>
      <c r="AB225" s="68"/>
      <c r="AC225" s="68"/>
    </row>
    <row r="226" spans="1:29" x14ac:dyDescent="0.3">
      <c r="A226" s="69"/>
      <c r="B226" s="68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68"/>
      <c r="N226" s="68"/>
      <c r="O226" s="68"/>
      <c r="P226" s="68"/>
      <c r="Q226" s="68"/>
      <c r="R226" s="68"/>
      <c r="S226" s="68"/>
      <c r="T226" s="68"/>
      <c r="U226" s="68"/>
      <c r="V226" s="68"/>
      <c r="W226" s="68"/>
      <c r="X226" s="68"/>
      <c r="Y226" s="68"/>
      <c r="Z226" s="68"/>
      <c r="AA226" s="68"/>
      <c r="AB226" s="68"/>
      <c r="AC226" s="68"/>
    </row>
    <row r="227" spans="1:29" x14ac:dyDescent="0.3">
      <c r="A227" s="69"/>
      <c r="B227" s="68"/>
      <c r="C227" s="68"/>
      <c r="D227" s="68"/>
      <c r="E227" s="68"/>
      <c r="F227" s="68"/>
      <c r="G227" s="68"/>
      <c r="H227" s="68"/>
      <c r="I227" s="68"/>
      <c r="J227" s="68"/>
      <c r="K227" s="68"/>
      <c r="L227" s="68"/>
      <c r="M227" s="68"/>
      <c r="N227" s="68"/>
      <c r="O227" s="68"/>
      <c r="P227" s="68"/>
      <c r="Q227" s="68"/>
      <c r="R227" s="68"/>
      <c r="S227" s="68"/>
      <c r="T227" s="68"/>
      <c r="U227" s="68"/>
      <c r="V227" s="68"/>
      <c r="W227" s="68"/>
      <c r="X227" s="68"/>
      <c r="Y227" s="68"/>
      <c r="Z227" s="68"/>
      <c r="AA227" s="68"/>
      <c r="AB227" s="68"/>
      <c r="AC227" s="68"/>
    </row>
    <row r="228" spans="1:29" x14ac:dyDescent="0.3">
      <c r="A228" s="69"/>
      <c r="B228" s="68"/>
      <c r="C228" s="68"/>
      <c r="D228" s="68"/>
      <c r="E228" s="68"/>
      <c r="F228" s="68"/>
      <c r="G228" s="68"/>
      <c r="H228" s="68"/>
      <c r="I228" s="68"/>
      <c r="J228" s="68"/>
      <c r="K228" s="68"/>
      <c r="L228" s="68"/>
      <c r="M228" s="68"/>
      <c r="N228" s="68"/>
      <c r="O228" s="68"/>
      <c r="P228" s="68"/>
      <c r="Q228" s="68"/>
      <c r="R228" s="68"/>
      <c r="S228" s="68"/>
      <c r="T228" s="68"/>
      <c r="U228" s="68"/>
      <c r="V228" s="68"/>
      <c r="W228" s="68"/>
      <c r="X228" s="68"/>
      <c r="Y228" s="68"/>
      <c r="Z228" s="68"/>
      <c r="AA228" s="68"/>
      <c r="AB228" s="68"/>
      <c r="AC228" s="68"/>
    </row>
    <row r="229" spans="1:29" x14ac:dyDescent="0.3">
      <c r="A229" s="69"/>
      <c r="B229" s="68"/>
      <c r="C229" s="68"/>
      <c r="D229" s="68"/>
      <c r="E229" s="68"/>
      <c r="F229" s="68"/>
      <c r="G229" s="68"/>
      <c r="H229" s="68"/>
      <c r="I229" s="68"/>
      <c r="J229" s="68"/>
      <c r="K229" s="68"/>
      <c r="L229" s="68"/>
      <c r="M229" s="68"/>
      <c r="N229" s="68"/>
      <c r="O229" s="68"/>
      <c r="P229" s="68"/>
      <c r="Q229" s="68"/>
      <c r="R229" s="68"/>
      <c r="S229" s="68"/>
      <c r="T229" s="68"/>
      <c r="U229" s="68"/>
      <c r="V229" s="68"/>
      <c r="W229" s="68"/>
      <c r="X229" s="68"/>
      <c r="Y229" s="68"/>
      <c r="Z229" s="68"/>
      <c r="AA229" s="68"/>
      <c r="AB229" s="68"/>
      <c r="AC229" s="68"/>
    </row>
    <row r="230" spans="1:29" x14ac:dyDescent="0.3">
      <c r="A230" s="69"/>
      <c r="B230" s="68"/>
      <c r="C230" s="68"/>
      <c r="D230" s="68"/>
      <c r="E230" s="68"/>
      <c r="F230" s="68"/>
      <c r="G230" s="68"/>
      <c r="H230" s="68"/>
      <c r="I230" s="68"/>
      <c r="J230" s="68"/>
      <c r="K230" s="68"/>
      <c r="L230" s="68"/>
      <c r="M230" s="68"/>
      <c r="N230" s="68"/>
      <c r="O230" s="68"/>
      <c r="P230" s="68"/>
      <c r="Q230" s="68"/>
      <c r="R230" s="68"/>
      <c r="S230" s="68"/>
      <c r="T230" s="68"/>
      <c r="U230" s="68"/>
      <c r="V230" s="68"/>
      <c r="W230" s="68"/>
      <c r="X230" s="68"/>
      <c r="Y230" s="68"/>
      <c r="Z230" s="68"/>
      <c r="AA230" s="68"/>
      <c r="AB230" s="68"/>
      <c r="AC230" s="68"/>
    </row>
    <row r="231" spans="1:29" x14ac:dyDescent="0.3">
      <c r="A231" s="69"/>
      <c r="B231" s="68"/>
      <c r="C231" s="68"/>
      <c r="D231" s="68"/>
      <c r="E231" s="68"/>
      <c r="F231" s="68"/>
      <c r="G231" s="68"/>
      <c r="H231" s="68"/>
      <c r="I231" s="68"/>
      <c r="J231" s="68"/>
      <c r="K231" s="68"/>
      <c r="L231" s="68"/>
      <c r="M231" s="68"/>
      <c r="N231" s="68"/>
      <c r="O231" s="68"/>
      <c r="P231" s="68"/>
      <c r="Q231" s="68"/>
      <c r="R231" s="68"/>
      <c r="S231" s="68"/>
      <c r="T231" s="68"/>
      <c r="U231" s="68"/>
      <c r="V231" s="68"/>
      <c r="W231" s="68"/>
      <c r="X231" s="68"/>
      <c r="Y231" s="68"/>
      <c r="Z231" s="68"/>
      <c r="AA231" s="68"/>
      <c r="AB231" s="68"/>
      <c r="AC231" s="68"/>
    </row>
    <row r="232" spans="1:29" x14ac:dyDescent="0.3">
      <c r="A232" s="69"/>
      <c r="B232" s="68"/>
      <c r="C232" s="68"/>
      <c r="D232" s="68"/>
      <c r="E232" s="68"/>
      <c r="F232" s="68"/>
      <c r="G232" s="68"/>
      <c r="H232" s="68"/>
      <c r="I232" s="68"/>
      <c r="J232" s="68"/>
      <c r="K232" s="68"/>
      <c r="L232" s="68"/>
      <c r="M232" s="68"/>
      <c r="N232" s="68"/>
      <c r="O232" s="68"/>
      <c r="P232" s="68"/>
      <c r="Q232" s="68"/>
      <c r="R232" s="68"/>
      <c r="S232" s="68"/>
      <c r="T232" s="68"/>
      <c r="U232" s="68"/>
      <c r="V232" s="68"/>
      <c r="W232" s="68"/>
      <c r="X232" s="68"/>
      <c r="Y232" s="68"/>
      <c r="Z232" s="68"/>
      <c r="AA232" s="68"/>
      <c r="AB232" s="68"/>
      <c r="AC232" s="68"/>
    </row>
    <row r="233" spans="1:29" x14ac:dyDescent="0.3">
      <c r="A233" s="69"/>
      <c r="B233" s="68"/>
      <c r="C233" s="68"/>
      <c r="D233" s="68"/>
      <c r="E233" s="68"/>
      <c r="F233" s="68"/>
      <c r="G233" s="68"/>
      <c r="H233" s="68"/>
      <c r="I233" s="68"/>
      <c r="J233" s="68"/>
      <c r="K233" s="68"/>
      <c r="L233" s="68"/>
      <c r="M233" s="68"/>
      <c r="N233" s="68"/>
      <c r="O233" s="68"/>
      <c r="P233" s="68"/>
      <c r="Q233" s="68"/>
      <c r="R233" s="68"/>
      <c r="S233" s="68"/>
      <c r="T233" s="68"/>
      <c r="U233" s="68"/>
      <c r="V233" s="68"/>
      <c r="W233" s="68"/>
      <c r="X233" s="68"/>
      <c r="Y233" s="68"/>
      <c r="Z233" s="68"/>
      <c r="AA233" s="68"/>
      <c r="AB233" s="68"/>
      <c r="AC233" s="68"/>
    </row>
    <row r="234" spans="1:29" x14ac:dyDescent="0.3">
      <c r="A234" s="69"/>
      <c r="B234" s="68"/>
      <c r="C234" s="68"/>
      <c r="D234" s="68"/>
      <c r="E234" s="68"/>
      <c r="F234" s="68"/>
      <c r="G234" s="68"/>
      <c r="H234" s="68"/>
      <c r="I234" s="68"/>
      <c r="J234" s="68"/>
      <c r="K234" s="68"/>
      <c r="L234" s="68"/>
      <c r="M234" s="68"/>
      <c r="N234" s="68"/>
      <c r="O234" s="68"/>
      <c r="P234" s="68"/>
      <c r="Q234" s="68"/>
      <c r="R234" s="68"/>
      <c r="S234" s="68"/>
      <c r="T234" s="68"/>
      <c r="U234" s="68"/>
      <c r="V234" s="68"/>
      <c r="W234" s="68"/>
      <c r="X234" s="68"/>
      <c r="Y234" s="68"/>
      <c r="Z234" s="68"/>
      <c r="AA234" s="68"/>
      <c r="AB234" s="68"/>
      <c r="AC234" s="68"/>
    </row>
    <row r="235" spans="1:29" x14ac:dyDescent="0.3">
      <c r="A235" s="69"/>
      <c r="B235" s="68"/>
      <c r="C235" s="68"/>
      <c r="D235" s="68"/>
      <c r="E235" s="68"/>
      <c r="F235" s="68"/>
      <c r="G235" s="68"/>
      <c r="H235" s="68"/>
      <c r="I235" s="68"/>
      <c r="J235" s="68"/>
      <c r="K235" s="68"/>
      <c r="L235" s="68"/>
      <c r="M235" s="68"/>
      <c r="N235" s="68"/>
      <c r="O235" s="68"/>
      <c r="P235" s="68"/>
      <c r="Q235" s="68"/>
      <c r="R235" s="68"/>
      <c r="S235" s="68"/>
      <c r="T235" s="68"/>
      <c r="U235" s="68"/>
      <c r="V235" s="68"/>
      <c r="W235" s="68"/>
      <c r="X235" s="68"/>
      <c r="Y235" s="68"/>
      <c r="Z235" s="68"/>
      <c r="AA235" s="68"/>
      <c r="AB235" s="68"/>
      <c r="AC235" s="68"/>
    </row>
    <row r="236" spans="1:29" x14ac:dyDescent="0.3">
      <c r="A236" s="69"/>
      <c r="B236" s="68"/>
      <c r="C236" s="68"/>
      <c r="D236" s="68"/>
      <c r="E236" s="68"/>
      <c r="F236" s="68"/>
      <c r="G236" s="68"/>
      <c r="H236" s="68"/>
      <c r="I236" s="68"/>
      <c r="J236" s="68"/>
      <c r="K236" s="68"/>
      <c r="L236" s="68"/>
      <c r="M236" s="68"/>
      <c r="N236" s="68"/>
      <c r="O236" s="68"/>
      <c r="P236" s="68"/>
      <c r="Q236" s="68"/>
      <c r="R236" s="68"/>
      <c r="S236" s="68"/>
      <c r="T236" s="68"/>
      <c r="U236" s="68"/>
      <c r="V236" s="68"/>
      <c r="W236" s="68"/>
      <c r="X236" s="68"/>
      <c r="Y236" s="68"/>
      <c r="Z236" s="68"/>
      <c r="AA236" s="68"/>
      <c r="AB236" s="68"/>
      <c r="AC236" s="68"/>
    </row>
    <row r="237" spans="1:29" x14ac:dyDescent="0.3">
      <c r="A237" s="69"/>
      <c r="B237" s="68"/>
      <c r="C237" s="68"/>
      <c r="D237" s="68"/>
      <c r="E237" s="68"/>
      <c r="F237" s="68"/>
      <c r="G237" s="68"/>
      <c r="H237" s="68"/>
      <c r="I237" s="68"/>
      <c r="J237" s="68"/>
      <c r="K237" s="68"/>
      <c r="L237" s="68"/>
      <c r="M237" s="68"/>
      <c r="N237" s="68"/>
      <c r="O237" s="68"/>
      <c r="P237" s="68"/>
      <c r="Q237" s="68"/>
      <c r="R237" s="68"/>
      <c r="S237" s="68"/>
      <c r="T237" s="68"/>
      <c r="U237" s="68"/>
      <c r="V237" s="68"/>
      <c r="W237" s="68"/>
      <c r="X237" s="68"/>
      <c r="Y237" s="68"/>
      <c r="Z237" s="68"/>
      <c r="AA237" s="68"/>
      <c r="AB237" s="68"/>
      <c r="AC237" s="68"/>
    </row>
    <row r="238" spans="1:29" x14ac:dyDescent="0.3">
      <c r="A238" s="69"/>
      <c r="B238" s="68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68"/>
      <c r="N238" s="68"/>
      <c r="O238" s="68"/>
      <c r="P238" s="68"/>
      <c r="Q238" s="68"/>
      <c r="R238" s="68"/>
      <c r="S238" s="68"/>
      <c r="T238" s="68"/>
      <c r="U238" s="68"/>
      <c r="V238" s="68"/>
      <c r="W238" s="68"/>
      <c r="X238" s="68"/>
      <c r="Y238" s="68"/>
      <c r="Z238" s="68"/>
      <c r="AA238" s="68"/>
      <c r="AB238" s="68"/>
      <c r="AC238" s="68"/>
    </row>
    <row r="239" spans="1:29" x14ac:dyDescent="0.3">
      <c r="A239" s="69"/>
      <c r="B239" s="68"/>
      <c r="C239" s="68"/>
      <c r="D239" s="68"/>
      <c r="E239" s="68"/>
      <c r="F239" s="68"/>
      <c r="G239" s="68"/>
      <c r="H239" s="68"/>
      <c r="I239" s="68"/>
      <c r="J239" s="68"/>
      <c r="K239" s="68"/>
      <c r="L239" s="68"/>
      <c r="M239" s="68"/>
      <c r="N239" s="68"/>
      <c r="O239" s="68"/>
      <c r="P239" s="68"/>
      <c r="Q239" s="68"/>
      <c r="R239" s="68"/>
      <c r="S239" s="68"/>
      <c r="T239" s="68"/>
      <c r="U239" s="68"/>
      <c r="V239" s="68"/>
      <c r="W239" s="68"/>
      <c r="X239" s="68"/>
      <c r="Y239" s="68"/>
      <c r="Z239" s="68"/>
      <c r="AA239" s="68"/>
      <c r="AB239" s="68"/>
      <c r="AC239" s="68"/>
    </row>
    <row r="240" spans="1:29" x14ac:dyDescent="0.3">
      <c r="A240" s="69"/>
      <c r="B240" s="68"/>
      <c r="C240" s="68"/>
      <c r="D240" s="68"/>
      <c r="E240" s="68"/>
      <c r="F240" s="68"/>
      <c r="G240" s="68"/>
      <c r="H240" s="68"/>
      <c r="I240" s="68"/>
      <c r="J240" s="68"/>
      <c r="K240" s="68"/>
      <c r="L240" s="68"/>
      <c r="M240" s="68"/>
      <c r="N240" s="68"/>
      <c r="O240" s="68"/>
      <c r="P240" s="68"/>
      <c r="Q240" s="68"/>
      <c r="R240" s="68"/>
      <c r="S240" s="68"/>
      <c r="T240" s="68"/>
      <c r="U240" s="68"/>
      <c r="V240" s="68"/>
      <c r="W240" s="68"/>
      <c r="X240" s="68"/>
      <c r="Y240" s="68"/>
      <c r="Z240" s="68"/>
      <c r="AA240" s="68"/>
      <c r="AB240" s="68"/>
      <c r="AC240" s="68"/>
    </row>
    <row r="241" spans="1:29" x14ac:dyDescent="0.3">
      <c r="A241" s="69"/>
      <c r="B241" s="68"/>
      <c r="C241" s="68"/>
      <c r="D241" s="68"/>
      <c r="E241" s="68"/>
      <c r="F241" s="68"/>
      <c r="G241" s="68"/>
      <c r="H241" s="68"/>
      <c r="I241" s="68"/>
      <c r="J241" s="68"/>
      <c r="K241" s="68"/>
      <c r="L241" s="68"/>
      <c r="M241" s="68"/>
      <c r="N241" s="68"/>
      <c r="O241" s="68"/>
      <c r="P241" s="68"/>
      <c r="Q241" s="68"/>
      <c r="R241" s="68"/>
      <c r="S241" s="68"/>
      <c r="T241" s="68"/>
      <c r="U241" s="68"/>
      <c r="V241" s="68"/>
      <c r="W241" s="68"/>
      <c r="X241" s="68"/>
      <c r="Y241" s="68"/>
      <c r="Z241" s="68"/>
      <c r="AA241" s="68"/>
      <c r="AB241" s="68"/>
      <c r="AC241" s="68"/>
    </row>
    <row r="242" spans="1:29" x14ac:dyDescent="0.3">
      <c r="A242" s="69"/>
      <c r="B242" s="68"/>
      <c r="C242" s="68"/>
      <c r="D242" s="68"/>
      <c r="E242" s="68"/>
      <c r="F242" s="68"/>
      <c r="G242" s="68"/>
      <c r="H242" s="68"/>
      <c r="I242" s="68"/>
      <c r="J242" s="68"/>
      <c r="K242" s="68"/>
      <c r="L242" s="68"/>
      <c r="M242" s="68"/>
      <c r="N242" s="68"/>
      <c r="O242" s="68"/>
      <c r="P242" s="68"/>
      <c r="Q242" s="68"/>
      <c r="R242" s="68"/>
      <c r="S242" s="68"/>
      <c r="T242" s="68"/>
      <c r="U242" s="68"/>
      <c r="V242" s="68"/>
      <c r="W242" s="68"/>
      <c r="X242" s="68"/>
      <c r="Y242" s="68"/>
      <c r="Z242" s="68"/>
      <c r="AA242" s="68"/>
      <c r="AB242" s="68"/>
      <c r="AC242" s="68"/>
    </row>
    <row r="243" spans="1:29" x14ac:dyDescent="0.3">
      <c r="A243" s="69"/>
      <c r="B243" s="68"/>
      <c r="C243" s="68"/>
      <c r="D243" s="68"/>
      <c r="E243" s="68"/>
      <c r="F243" s="68"/>
      <c r="G243" s="68"/>
      <c r="H243" s="68"/>
      <c r="I243" s="68"/>
      <c r="J243" s="68"/>
      <c r="K243" s="68"/>
      <c r="L243" s="68"/>
      <c r="M243" s="68"/>
      <c r="N243" s="68"/>
      <c r="O243" s="68"/>
      <c r="P243" s="68"/>
      <c r="Q243" s="68"/>
      <c r="R243" s="68"/>
      <c r="S243" s="68"/>
      <c r="T243" s="68"/>
      <c r="U243" s="68"/>
      <c r="V243" s="68"/>
      <c r="W243" s="68"/>
      <c r="X243" s="68"/>
      <c r="Y243" s="68"/>
      <c r="Z243" s="68"/>
      <c r="AA243" s="68"/>
      <c r="AB243" s="68"/>
      <c r="AC243" s="68"/>
    </row>
    <row r="244" spans="1:29" x14ac:dyDescent="0.3">
      <c r="A244" s="69"/>
      <c r="B244" s="68"/>
      <c r="C244" s="68"/>
      <c r="D244" s="68"/>
      <c r="E244" s="68"/>
      <c r="F244" s="68"/>
      <c r="G244" s="68"/>
      <c r="H244" s="68"/>
      <c r="I244" s="68"/>
      <c r="J244" s="68"/>
      <c r="K244" s="68"/>
      <c r="L244" s="68"/>
      <c r="M244" s="68"/>
      <c r="N244" s="68"/>
      <c r="O244" s="68"/>
      <c r="P244" s="68"/>
      <c r="Q244" s="68"/>
      <c r="R244" s="68"/>
      <c r="S244" s="68"/>
      <c r="T244" s="68"/>
      <c r="U244" s="68"/>
      <c r="V244" s="68"/>
      <c r="W244" s="68"/>
      <c r="X244" s="68"/>
      <c r="Y244" s="68"/>
      <c r="Z244" s="68"/>
      <c r="AA244" s="68"/>
      <c r="AB244" s="68"/>
      <c r="AC244" s="68"/>
    </row>
    <row r="245" spans="1:29" x14ac:dyDescent="0.3">
      <c r="A245" s="69"/>
      <c r="B245" s="68"/>
      <c r="C245" s="68"/>
      <c r="D245" s="68"/>
      <c r="E245" s="68"/>
      <c r="F245" s="68"/>
      <c r="G245" s="68"/>
      <c r="H245" s="68"/>
      <c r="I245" s="68"/>
      <c r="J245" s="68"/>
      <c r="K245" s="68"/>
      <c r="L245" s="68"/>
      <c r="M245" s="68"/>
      <c r="N245" s="68"/>
      <c r="O245" s="68"/>
      <c r="P245" s="68"/>
      <c r="Q245" s="68"/>
      <c r="R245" s="68"/>
      <c r="S245" s="68"/>
      <c r="T245" s="68"/>
      <c r="U245" s="68"/>
      <c r="V245" s="68"/>
      <c r="W245" s="68"/>
      <c r="X245" s="68"/>
      <c r="Y245" s="68"/>
      <c r="Z245" s="68"/>
      <c r="AA245" s="68"/>
      <c r="AB245" s="68"/>
      <c r="AC245" s="68"/>
    </row>
    <row r="246" spans="1:29" x14ac:dyDescent="0.3">
      <c r="A246" s="69"/>
      <c r="B246" s="68"/>
      <c r="C246" s="68"/>
      <c r="D246" s="68"/>
      <c r="E246" s="68"/>
      <c r="F246" s="68"/>
      <c r="G246" s="68"/>
      <c r="H246" s="68"/>
      <c r="I246" s="68"/>
      <c r="J246" s="68"/>
      <c r="K246" s="68"/>
      <c r="L246" s="68"/>
      <c r="M246" s="68"/>
      <c r="N246" s="68"/>
      <c r="O246" s="68"/>
      <c r="P246" s="68"/>
      <c r="Q246" s="68"/>
      <c r="R246" s="68"/>
      <c r="S246" s="68"/>
      <c r="T246" s="68"/>
      <c r="U246" s="68"/>
      <c r="V246" s="68"/>
      <c r="W246" s="68"/>
      <c r="X246" s="68"/>
      <c r="Y246" s="68"/>
      <c r="Z246" s="68"/>
      <c r="AA246" s="68"/>
      <c r="AB246" s="68"/>
      <c r="AC246" s="68"/>
    </row>
    <row r="247" spans="1:29" x14ac:dyDescent="0.3">
      <c r="A247" s="69"/>
      <c r="B247" s="68"/>
      <c r="C247" s="68"/>
      <c r="D247" s="68"/>
      <c r="E247" s="68"/>
      <c r="F247" s="68"/>
      <c r="G247" s="68"/>
      <c r="H247" s="68"/>
      <c r="I247" s="68"/>
      <c r="J247" s="68"/>
      <c r="K247" s="68"/>
      <c r="L247" s="68"/>
      <c r="M247" s="68"/>
      <c r="N247" s="68"/>
      <c r="O247" s="68"/>
      <c r="P247" s="68"/>
      <c r="Q247" s="68"/>
      <c r="R247" s="68"/>
      <c r="S247" s="68"/>
      <c r="T247" s="68"/>
      <c r="U247" s="68"/>
      <c r="V247" s="68"/>
      <c r="W247" s="68"/>
      <c r="X247" s="68"/>
      <c r="Y247" s="68"/>
      <c r="Z247" s="68"/>
      <c r="AA247" s="68"/>
      <c r="AB247" s="68"/>
      <c r="AC247" s="68"/>
    </row>
    <row r="248" spans="1:29" x14ac:dyDescent="0.3">
      <c r="A248" s="69"/>
      <c r="B248" s="68"/>
      <c r="C248" s="68"/>
      <c r="D248" s="68"/>
      <c r="E248" s="68"/>
      <c r="F248" s="68"/>
      <c r="G248" s="68"/>
      <c r="H248" s="68"/>
      <c r="I248" s="68"/>
      <c r="J248" s="68"/>
      <c r="K248" s="68"/>
      <c r="L248" s="68"/>
      <c r="M248" s="68"/>
      <c r="N248" s="68"/>
      <c r="O248" s="68"/>
      <c r="P248" s="68"/>
      <c r="Q248" s="68"/>
      <c r="R248" s="68"/>
      <c r="S248" s="68"/>
      <c r="T248" s="68"/>
      <c r="U248" s="68"/>
      <c r="V248" s="68"/>
      <c r="W248" s="68"/>
      <c r="X248" s="68"/>
      <c r="Y248" s="68"/>
      <c r="Z248" s="68"/>
      <c r="AA248" s="68"/>
      <c r="AB248" s="68"/>
      <c r="AC248" s="68"/>
    </row>
    <row r="249" spans="1:29" x14ac:dyDescent="0.3">
      <c r="A249" s="69"/>
      <c r="B249" s="68"/>
      <c r="C249" s="68"/>
      <c r="D249" s="68"/>
      <c r="E249" s="68"/>
      <c r="F249" s="68"/>
      <c r="G249" s="68"/>
      <c r="H249" s="68"/>
      <c r="I249" s="68"/>
      <c r="J249" s="68"/>
      <c r="K249" s="68"/>
      <c r="L249" s="68"/>
      <c r="M249" s="68"/>
      <c r="N249" s="68"/>
      <c r="O249" s="68"/>
      <c r="P249" s="68"/>
      <c r="Q249" s="68"/>
      <c r="R249" s="68"/>
      <c r="S249" s="68"/>
      <c r="T249" s="68"/>
      <c r="U249" s="68"/>
      <c r="V249" s="68"/>
      <c r="W249" s="68"/>
      <c r="X249" s="68"/>
      <c r="Y249" s="68"/>
      <c r="Z249" s="68"/>
      <c r="AA249" s="68"/>
      <c r="AB249" s="68"/>
      <c r="AC249" s="68"/>
    </row>
    <row r="250" spans="1:29" x14ac:dyDescent="0.3">
      <c r="A250" s="69"/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68"/>
      <c r="U250" s="68"/>
      <c r="V250" s="68"/>
      <c r="W250" s="68"/>
      <c r="X250" s="68"/>
      <c r="Y250" s="68"/>
      <c r="Z250" s="68"/>
      <c r="AA250" s="68"/>
      <c r="AB250" s="68"/>
      <c r="AC250" s="68"/>
    </row>
    <row r="251" spans="1:29" x14ac:dyDescent="0.3">
      <c r="A251" s="69"/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68"/>
      <c r="U251" s="68"/>
      <c r="V251" s="68"/>
      <c r="W251" s="68"/>
      <c r="X251" s="68"/>
      <c r="Y251" s="68"/>
      <c r="Z251" s="68"/>
      <c r="AA251" s="68"/>
      <c r="AB251" s="68"/>
      <c r="AC251" s="68"/>
    </row>
    <row r="252" spans="1:29" x14ac:dyDescent="0.3">
      <c r="A252" s="69"/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68"/>
      <c r="U252" s="68"/>
      <c r="V252" s="68"/>
      <c r="W252" s="68"/>
      <c r="X252" s="68"/>
      <c r="Y252" s="68"/>
      <c r="Z252" s="68"/>
      <c r="AA252" s="68"/>
      <c r="AB252" s="68"/>
      <c r="AC252" s="68"/>
    </row>
    <row r="253" spans="1:29" x14ac:dyDescent="0.3">
      <c r="A253" s="69"/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68"/>
      <c r="U253" s="68"/>
      <c r="V253" s="68"/>
      <c r="W253" s="68"/>
      <c r="X253" s="68"/>
      <c r="Y253" s="68"/>
      <c r="Z253" s="68"/>
      <c r="AA253" s="68"/>
      <c r="AB253" s="68"/>
      <c r="AC253" s="68"/>
    </row>
    <row r="254" spans="1:29" x14ac:dyDescent="0.3">
      <c r="A254" s="69"/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68"/>
      <c r="U254" s="68"/>
      <c r="V254" s="68"/>
      <c r="W254" s="68"/>
      <c r="X254" s="68"/>
      <c r="Y254" s="68"/>
      <c r="Z254" s="68"/>
      <c r="AA254" s="68"/>
      <c r="AB254" s="68"/>
      <c r="AC254" s="68"/>
    </row>
    <row r="255" spans="1:29" x14ac:dyDescent="0.3">
      <c r="A255" s="69"/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68"/>
      <c r="U255" s="68"/>
      <c r="V255" s="68"/>
      <c r="W255" s="68"/>
      <c r="X255" s="68"/>
      <c r="Y255" s="68"/>
      <c r="Z255" s="68"/>
      <c r="AA255" s="68"/>
      <c r="AB255" s="68"/>
      <c r="AC255" s="68"/>
    </row>
    <row r="256" spans="1:29" x14ac:dyDescent="0.3">
      <c r="A256" s="69"/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68"/>
      <c r="U256" s="68"/>
      <c r="V256" s="68"/>
      <c r="W256" s="68"/>
      <c r="X256" s="68"/>
      <c r="Y256" s="68"/>
      <c r="Z256" s="68"/>
      <c r="AA256" s="68"/>
      <c r="AB256" s="68"/>
      <c r="AC256" s="68"/>
    </row>
    <row r="257" spans="1:29" x14ac:dyDescent="0.3">
      <c r="A257" s="69"/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68"/>
      <c r="U257" s="68"/>
      <c r="V257" s="68"/>
      <c r="W257" s="68"/>
      <c r="X257" s="68"/>
      <c r="Y257" s="68"/>
      <c r="Z257" s="68"/>
      <c r="AA257" s="68"/>
      <c r="AB257" s="68"/>
      <c r="AC257" s="68"/>
    </row>
    <row r="258" spans="1:29" x14ac:dyDescent="0.3">
      <c r="A258" s="69"/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68"/>
      <c r="U258" s="68"/>
      <c r="V258" s="68"/>
      <c r="W258" s="68"/>
      <c r="X258" s="68"/>
      <c r="Y258" s="68"/>
      <c r="Z258" s="68"/>
      <c r="AA258" s="68"/>
      <c r="AB258" s="68"/>
      <c r="AC258" s="68"/>
    </row>
    <row r="259" spans="1:29" x14ac:dyDescent="0.3">
      <c r="A259" s="69"/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68"/>
      <c r="U259" s="68"/>
      <c r="V259" s="68"/>
      <c r="W259" s="68"/>
      <c r="X259" s="68"/>
      <c r="Y259" s="68"/>
      <c r="Z259" s="68"/>
      <c r="AA259" s="68"/>
      <c r="AB259" s="68"/>
      <c r="AC259" s="68"/>
    </row>
    <row r="260" spans="1:29" x14ac:dyDescent="0.3">
      <c r="A260" s="69"/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68"/>
      <c r="U260" s="68"/>
      <c r="V260" s="68"/>
      <c r="W260" s="68"/>
      <c r="X260" s="68"/>
      <c r="Y260" s="68"/>
      <c r="Z260" s="68"/>
      <c r="AA260" s="68"/>
      <c r="AB260" s="68"/>
      <c r="AC260" s="68"/>
    </row>
    <row r="261" spans="1:29" x14ac:dyDescent="0.3">
      <c r="A261" s="69"/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68"/>
      <c r="U261" s="68"/>
      <c r="V261" s="68"/>
      <c r="W261" s="68"/>
      <c r="X261" s="68"/>
      <c r="Y261" s="68"/>
      <c r="Z261" s="68"/>
      <c r="AA261" s="68"/>
      <c r="AB261" s="68"/>
      <c r="AC261" s="68"/>
    </row>
    <row r="262" spans="1:29" x14ac:dyDescent="0.3">
      <c r="A262" s="69"/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68"/>
      <c r="U262" s="68"/>
      <c r="V262" s="68"/>
      <c r="W262" s="68"/>
      <c r="X262" s="68"/>
      <c r="Y262" s="68"/>
      <c r="Z262" s="68"/>
      <c r="AA262" s="68"/>
      <c r="AB262" s="68"/>
      <c r="AC262" s="68"/>
    </row>
    <row r="263" spans="1:29" x14ac:dyDescent="0.3">
      <c r="A263" s="69"/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68"/>
      <c r="U263" s="68"/>
      <c r="V263" s="68"/>
      <c r="W263" s="68"/>
      <c r="X263" s="68"/>
      <c r="Y263" s="68"/>
      <c r="Z263" s="68"/>
      <c r="AA263" s="68"/>
      <c r="AB263" s="68"/>
      <c r="AC263" s="68"/>
    </row>
    <row r="264" spans="1:29" x14ac:dyDescent="0.3">
      <c r="A264" s="69"/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68"/>
      <c r="U264" s="68"/>
      <c r="V264" s="68"/>
      <c r="W264" s="68"/>
      <c r="X264" s="68"/>
      <c r="Y264" s="68"/>
      <c r="Z264" s="68"/>
      <c r="AA264" s="68"/>
      <c r="AB264" s="68"/>
      <c r="AC264" s="68"/>
    </row>
    <row r="265" spans="1:29" x14ac:dyDescent="0.3">
      <c r="A265" s="69"/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68"/>
      <c r="U265" s="68"/>
      <c r="V265" s="68"/>
      <c r="W265" s="68"/>
      <c r="X265" s="68"/>
      <c r="Y265" s="68"/>
      <c r="Z265" s="68"/>
      <c r="AA265" s="68"/>
      <c r="AB265" s="68"/>
      <c r="AC265" s="68"/>
    </row>
    <row r="266" spans="1:29" x14ac:dyDescent="0.3">
      <c r="A266" s="69"/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68"/>
      <c r="U266" s="68"/>
      <c r="V266" s="68"/>
      <c r="W266" s="68"/>
      <c r="X266" s="68"/>
      <c r="Y266" s="68"/>
      <c r="Z266" s="68"/>
      <c r="AA266" s="68"/>
      <c r="AB266" s="68"/>
      <c r="AC266" s="68"/>
    </row>
    <row r="267" spans="1:29" x14ac:dyDescent="0.3">
      <c r="A267" s="69"/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68"/>
      <c r="U267" s="68"/>
      <c r="V267" s="68"/>
      <c r="W267" s="68"/>
      <c r="X267" s="68"/>
      <c r="Y267" s="68"/>
      <c r="Z267" s="68"/>
      <c r="AA267" s="68"/>
      <c r="AB267" s="68"/>
      <c r="AC267" s="68"/>
    </row>
    <row r="268" spans="1:29" x14ac:dyDescent="0.3">
      <c r="A268" s="69"/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68"/>
      <c r="U268" s="68"/>
      <c r="V268" s="68"/>
      <c r="W268" s="68"/>
      <c r="X268" s="68"/>
      <c r="Y268" s="68"/>
      <c r="Z268" s="68"/>
      <c r="AA268" s="68"/>
      <c r="AB268" s="68"/>
      <c r="AC268" s="68"/>
    </row>
    <row r="269" spans="1:29" x14ac:dyDescent="0.3">
      <c r="A269" s="69"/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68"/>
      <c r="U269" s="68"/>
      <c r="V269" s="68"/>
      <c r="W269" s="68"/>
      <c r="X269" s="68"/>
      <c r="Y269" s="68"/>
      <c r="Z269" s="68"/>
      <c r="AA269" s="68"/>
      <c r="AB269" s="68"/>
      <c r="AC269" s="68"/>
    </row>
    <row r="270" spans="1:29" x14ac:dyDescent="0.3">
      <c r="A270" s="69"/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68"/>
      <c r="U270" s="68"/>
      <c r="V270" s="68"/>
      <c r="W270" s="68"/>
      <c r="X270" s="68"/>
      <c r="Y270" s="68"/>
      <c r="Z270" s="68"/>
      <c r="AA270" s="68"/>
      <c r="AB270" s="68"/>
      <c r="AC270" s="68"/>
    </row>
    <row r="271" spans="1:29" x14ac:dyDescent="0.3">
      <c r="A271" s="69"/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68"/>
      <c r="U271" s="68"/>
      <c r="V271" s="68"/>
      <c r="W271" s="68"/>
      <c r="X271" s="68"/>
      <c r="Y271" s="68"/>
      <c r="Z271" s="68"/>
      <c r="AA271" s="68"/>
      <c r="AB271" s="68"/>
      <c r="AC271" s="68"/>
    </row>
    <row r="272" spans="1:29" x14ac:dyDescent="0.3">
      <c r="A272" s="69"/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68"/>
      <c r="U272" s="68"/>
      <c r="V272" s="68"/>
      <c r="W272" s="68"/>
      <c r="X272" s="68"/>
      <c r="Y272" s="68"/>
      <c r="Z272" s="68"/>
      <c r="AA272" s="68"/>
      <c r="AB272" s="68"/>
      <c r="AC272" s="68"/>
    </row>
    <row r="273" spans="1:29" x14ac:dyDescent="0.3">
      <c r="A273" s="69"/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68"/>
      <c r="U273" s="68"/>
      <c r="V273" s="68"/>
      <c r="W273" s="68"/>
      <c r="X273" s="68"/>
      <c r="Y273" s="68"/>
      <c r="Z273" s="68"/>
      <c r="AA273" s="68"/>
      <c r="AB273" s="68"/>
      <c r="AC273" s="68"/>
    </row>
    <row r="274" spans="1:29" x14ac:dyDescent="0.3">
      <c r="A274" s="69"/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68"/>
      <c r="U274" s="68"/>
      <c r="V274" s="68"/>
      <c r="W274" s="68"/>
      <c r="X274" s="68"/>
      <c r="Y274" s="68"/>
      <c r="Z274" s="68"/>
      <c r="AA274" s="68"/>
      <c r="AB274" s="68"/>
      <c r="AC274" s="68"/>
    </row>
    <row r="275" spans="1:29" x14ac:dyDescent="0.3">
      <c r="A275" s="69"/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68"/>
      <c r="U275" s="68"/>
      <c r="V275" s="68"/>
      <c r="W275" s="68"/>
      <c r="X275" s="68"/>
      <c r="Y275" s="68"/>
      <c r="Z275" s="68"/>
      <c r="AA275" s="68"/>
      <c r="AB275" s="68"/>
      <c r="AC275" s="68"/>
    </row>
    <row r="276" spans="1:29" x14ac:dyDescent="0.3">
      <c r="A276" s="69"/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68"/>
      <c r="U276" s="68"/>
      <c r="V276" s="68"/>
      <c r="W276" s="68"/>
      <c r="X276" s="68"/>
      <c r="Y276" s="68"/>
      <c r="Z276" s="68"/>
      <c r="AA276" s="68"/>
      <c r="AB276" s="68"/>
      <c r="AC276" s="68"/>
    </row>
    <row r="277" spans="1:29" x14ac:dyDescent="0.3">
      <c r="A277" s="69"/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68"/>
      <c r="U277" s="68"/>
      <c r="V277" s="68"/>
      <c r="W277" s="68"/>
      <c r="X277" s="68"/>
      <c r="Y277" s="68"/>
      <c r="Z277" s="68"/>
      <c r="AA277" s="68"/>
      <c r="AB277" s="68"/>
      <c r="AC277" s="68"/>
    </row>
    <row r="278" spans="1:29" x14ac:dyDescent="0.3">
      <c r="A278" s="69"/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68"/>
      <c r="U278" s="68"/>
      <c r="V278" s="68"/>
      <c r="W278" s="68"/>
      <c r="X278" s="68"/>
      <c r="Y278" s="68"/>
      <c r="Z278" s="68"/>
      <c r="AA278" s="68"/>
      <c r="AB278" s="68"/>
      <c r="AC278" s="68"/>
    </row>
    <row r="279" spans="1:29" x14ac:dyDescent="0.3">
      <c r="A279" s="69"/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68"/>
      <c r="U279" s="68"/>
      <c r="V279" s="68"/>
      <c r="W279" s="68"/>
      <c r="X279" s="68"/>
      <c r="Y279" s="68"/>
      <c r="Z279" s="68"/>
      <c r="AA279" s="68"/>
      <c r="AB279" s="68"/>
      <c r="AC279" s="68"/>
    </row>
    <row r="280" spans="1:29" x14ac:dyDescent="0.3">
      <c r="A280" s="69"/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68"/>
      <c r="U280" s="68"/>
      <c r="V280" s="68"/>
      <c r="W280" s="68"/>
      <c r="X280" s="68"/>
      <c r="Y280" s="68"/>
      <c r="Z280" s="68"/>
      <c r="AA280" s="68"/>
      <c r="AB280" s="68"/>
      <c r="AC280" s="68"/>
    </row>
    <row r="281" spans="1:29" x14ac:dyDescent="0.3">
      <c r="A281" s="69"/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68"/>
      <c r="U281" s="68"/>
      <c r="V281" s="68"/>
      <c r="W281" s="68"/>
      <c r="X281" s="68"/>
      <c r="Y281" s="68"/>
      <c r="Z281" s="68"/>
      <c r="AA281" s="68"/>
      <c r="AB281" s="68"/>
      <c r="AC281" s="68"/>
    </row>
    <row r="282" spans="1:29" x14ac:dyDescent="0.3">
      <c r="A282" s="69"/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68"/>
      <c r="U282" s="68"/>
      <c r="V282" s="68"/>
      <c r="W282" s="68"/>
      <c r="X282" s="68"/>
      <c r="Y282" s="68"/>
      <c r="Z282" s="68"/>
      <c r="AA282" s="68"/>
      <c r="AB282" s="68"/>
      <c r="AC282" s="68"/>
    </row>
    <row r="283" spans="1:29" x14ac:dyDescent="0.3">
      <c r="A283" s="69"/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68"/>
      <c r="U283" s="68"/>
      <c r="V283" s="68"/>
      <c r="W283" s="68"/>
      <c r="X283" s="68"/>
      <c r="Y283" s="68"/>
      <c r="Z283" s="68"/>
      <c r="AA283" s="68"/>
      <c r="AB283" s="68"/>
      <c r="AC283" s="68"/>
    </row>
    <row r="284" spans="1:29" x14ac:dyDescent="0.3">
      <c r="A284" s="69"/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68"/>
      <c r="U284" s="68"/>
      <c r="V284" s="68"/>
      <c r="W284" s="68"/>
      <c r="X284" s="68"/>
      <c r="Y284" s="68"/>
      <c r="Z284" s="68"/>
      <c r="AA284" s="68"/>
      <c r="AB284" s="68"/>
      <c r="AC284" s="68"/>
    </row>
    <row r="285" spans="1:29" x14ac:dyDescent="0.3">
      <c r="A285" s="69"/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68"/>
      <c r="U285" s="68"/>
      <c r="V285" s="68"/>
      <c r="W285" s="68"/>
      <c r="X285" s="68"/>
      <c r="Y285" s="68"/>
      <c r="Z285" s="68"/>
      <c r="AA285" s="68"/>
      <c r="AB285" s="68"/>
      <c r="AC285" s="68"/>
    </row>
    <row r="286" spans="1:29" x14ac:dyDescent="0.3">
      <c r="A286" s="69"/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68"/>
      <c r="U286" s="68"/>
      <c r="V286" s="68"/>
      <c r="W286" s="68"/>
      <c r="X286" s="68"/>
      <c r="Y286" s="68"/>
      <c r="Z286" s="68"/>
      <c r="AA286" s="68"/>
      <c r="AB286" s="68"/>
      <c r="AC286" s="68"/>
    </row>
    <row r="287" spans="1:29" x14ac:dyDescent="0.3">
      <c r="A287" s="69"/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68"/>
      <c r="U287" s="68"/>
      <c r="V287" s="68"/>
      <c r="W287" s="68"/>
      <c r="X287" s="68"/>
      <c r="Y287" s="68"/>
      <c r="Z287" s="68"/>
      <c r="AA287" s="68"/>
      <c r="AB287" s="68"/>
      <c r="AC287" s="68"/>
    </row>
    <row r="288" spans="1:29" x14ac:dyDescent="0.3">
      <c r="A288" s="69"/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68"/>
      <c r="U288" s="68"/>
      <c r="V288" s="68"/>
      <c r="W288" s="68"/>
      <c r="X288" s="68"/>
      <c r="Y288" s="68"/>
      <c r="Z288" s="68"/>
      <c r="AA288" s="68"/>
      <c r="AB288" s="68"/>
      <c r="AC288" s="68"/>
    </row>
    <row r="289" spans="1:29" x14ac:dyDescent="0.3">
      <c r="A289" s="69"/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68"/>
      <c r="U289" s="68"/>
      <c r="V289" s="68"/>
      <c r="W289" s="68"/>
      <c r="X289" s="68"/>
      <c r="Y289" s="68"/>
      <c r="Z289" s="68"/>
      <c r="AA289" s="68"/>
      <c r="AB289" s="68"/>
      <c r="AC289" s="68"/>
    </row>
    <row r="290" spans="1:29" x14ac:dyDescent="0.3">
      <c r="A290" s="69"/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68"/>
      <c r="U290" s="68"/>
      <c r="V290" s="68"/>
      <c r="W290" s="68"/>
      <c r="X290" s="68"/>
      <c r="Y290" s="68"/>
      <c r="Z290" s="68"/>
      <c r="AA290" s="68"/>
      <c r="AB290" s="68"/>
      <c r="AC290" s="68"/>
    </row>
    <row r="291" spans="1:29" x14ac:dyDescent="0.3">
      <c r="A291" s="69"/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68"/>
      <c r="U291" s="68"/>
      <c r="V291" s="68"/>
      <c r="W291" s="68"/>
      <c r="X291" s="68"/>
      <c r="Y291" s="68"/>
      <c r="Z291" s="68"/>
      <c r="AA291" s="68"/>
      <c r="AB291" s="68"/>
      <c r="AC291" s="68"/>
    </row>
    <row r="292" spans="1:29" x14ac:dyDescent="0.3">
      <c r="A292" s="69"/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68"/>
      <c r="U292" s="68"/>
      <c r="V292" s="68"/>
      <c r="W292" s="68"/>
      <c r="X292" s="68"/>
      <c r="Y292" s="68"/>
      <c r="Z292" s="68"/>
      <c r="AA292" s="68"/>
      <c r="AB292" s="68"/>
      <c r="AC292" s="68"/>
    </row>
    <row r="293" spans="1:29" x14ac:dyDescent="0.3">
      <c r="A293" s="69"/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68"/>
      <c r="U293" s="68"/>
      <c r="V293" s="68"/>
      <c r="W293" s="68"/>
      <c r="X293" s="68"/>
      <c r="Y293" s="68"/>
      <c r="Z293" s="68"/>
      <c r="AA293" s="68"/>
      <c r="AB293" s="68"/>
      <c r="AC293" s="68"/>
    </row>
    <row r="294" spans="1:29" x14ac:dyDescent="0.3">
      <c r="A294" s="69"/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68"/>
      <c r="U294" s="68"/>
      <c r="V294" s="68"/>
      <c r="W294" s="68"/>
      <c r="X294" s="68"/>
      <c r="Y294" s="68"/>
      <c r="Z294" s="68"/>
      <c r="AA294" s="68"/>
      <c r="AB294" s="68"/>
      <c r="AC294" s="68"/>
    </row>
    <row r="295" spans="1:29" x14ac:dyDescent="0.3">
      <c r="A295" s="69"/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68"/>
      <c r="U295" s="68"/>
      <c r="V295" s="68"/>
      <c r="W295" s="68"/>
      <c r="X295" s="68"/>
      <c r="Y295" s="68"/>
      <c r="Z295" s="68"/>
      <c r="AA295" s="68"/>
      <c r="AB295" s="68"/>
      <c r="AC295" s="68"/>
    </row>
    <row r="296" spans="1:29" x14ac:dyDescent="0.3">
      <c r="A296" s="69"/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68"/>
      <c r="U296" s="68"/>
      <c r="V296" s="68"/>
      <c r="W296" s="68"/>
      <c r="X296" s="68"/>
      <c r="Y296" s="68"/>
      <c r="Z296" s="68"/>
      <c r="AA296" s="68"/>
      <c r="AB296" s="68"/>
      <c r="AC296" s="68"/>
    </row>
    <row r="297" spans="1:29" x14ac:dyDescent="0.3">
      <c r="A297" s="69"/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68"/>
      <c r="U297" s="68"/>
      <c r="V297" s="68"/>
      <c r="W297" s="68"/>
      <c r="X297" s="68"/>
      <c r="Y297" s="68"/>
      <c r="Z297" s="68"/>
      <c r="AA297" s="68"/>
      <c r="AB297" s="68"/>
      <c r="AC297" s="68"/>
    </row>
    <row r="298" spans="1:29" x14ac:dyDescent="0.3">
      <c r="A298" s="69"/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68"/>
      <c r="U298" s="68"/>
      <c r="V298" s="68"/>
      <c r="W298" s="68"/>
      <c r="X298" s="68"/>
      <c r="Y298" s="68"/>
      <c r="Z298" s="68"/>
      <c r="AA298" s="68"/>
      <c r="AB298" s="68"/>
      <c r="AC298" s="68"/>
    </row>
    <row r="299" spans="1:29" x14ac:dyDescent="0.3">
      <c r="A299" s="69"/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68"/>
      <c r="U299" s="68"/>
      <c r="V299" s="68"/>
      <c r="W299" s="68"/>
      <c r="X299" s="68"/>
      <c r="Y299" s="68"/>
      <c r="Z299" s="68"/>
      <c r="AA299" s="68"/>
      <c r="AB299" s="68"/>
      <c r="AC299" s="68"/>
    </row>
    <row r="300" spans="1:29" x14ac:dyDescent="0.3">
      <c r="A300" s="69"/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68"/>
      <c r="U300" s="68"/>
      <c r="V300" s="68"/>
      <c r="W300" s="68"/>
      <c r="X300" s="68"/>
      <c r="Y300" s="68"/>
      <c r="Z300" s="68"/>
      <c r="AA300" s="68"/>
      <c r="AB300" s="68"/>
      <c r="AC300" s="68"/>
    </row>
    <row r="301" spans="1:29" x14ac:dyDescent="0.3">
      <c r="A301" s="69"/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68"/>
      <c r="U301" s="68"/>
      <c r="V301" s="68"/>
      <c r="W301" s="68"/>
      <c r="X301" s="68"/>
      <c r="Y301" s="68"/>
      <c r="Z301" s="68"/>
      <c r="AA301" s="68"/>
      <c r="AB301" s="68"/>
      <c r="AC301" s="68"/>
    </row>
    <row r="302" spans="1:29" x14ac:dyDescent="0.3">
      <c r="A302" s="69"/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68"/>
      <c r="U302" s="68"/>
      <c r="V302" s="68"/>
      <c r="W302" s="68"/>
      <c r="X302" s="68"/>
      <c r="Y302" s="68"/>
      <c r="Z302" s="68"/>
      <c r="AA302" s="68"/>
      <c r="AB302" s="68"/>
      <c r="AC302" s="68"/>
    </row>
    <row r="303" spans="1:29" x14ac:dyDescent="0.3">
      <c r="A303" s="69"/>
      <c r="B303" s="68"/>
      <c r="C303" s="68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68"/>
      <c r="U303" s="68"/>
      <c r="V303" s="68"/>
      <c r="W303" s="68"/>
      <c r="X303" s="68"/>
      <c r="Y303" s="68"/>
      <c r="Z303" s="68"/>
      <c r="AA303" s="68"/>
      <c r="AB303" s="68"/>
      <c r="AC303" s="68"/>
    </row>
    <row r="304" spans="1:29" x14ac:dyDescent="0.3">
      <c r="A304" s="69"/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68"/>
      <c r="U304" s="68"/>
      <c r="V304" s="68"/>
      <c r="W304" s="68"/>
      <c r="X304" s="68"/>
      <c r="Y304" s="68"/>
      <c r="Z304" s="68"/>
      <c r="AA304" s="68"/>
      <c r="AB304" s="68"/>
      <c r="AC304" s="68"/>
    </row>
    <row r="305" spans="1:29" x14ac:dyDescent="0.3">
      <c r="A305" s="69"/>
      <c r="B305" s="68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68"/>
      <c r="U305" s="68"/>
      <c r="V305" s="68"/>
      <c r="W305" s="68"/>
      <c r="X305" s="68"/>
      <c r="Y305" s="68"/>
      <c r="Z305" s="68"/>
      <c r="AA305" s="68"/>
      <c r="AB305" s="68"/>
      <c r="AC305" s="68"/>
    </row>
    <row r="306" spans="1:29" x14ac:dyDescent="0.3">
      <c r="A306" s="69"/>
      <c r="B306" s="68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68"/>
      <c r="U306" s="68"/>
      <c r="V306" s="68"/>
      <c r="W306" s="68"/>
      <c r="X306" s="68"/>
      <c r="Y306" s="68"/>
      <c r="Z306" s="68"/>
      <c r="AA306" s="68"/>
      <c r="AB306" s="68"/>
      <c r="AC306" s="68"/>
    </row>
    <row r="307" spans="1:29" x14ac:dyDescent="0.3">
      <c r="A307" s="69"/>
      <c r="B307" s="68"/>
      <c r="C307" s="68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68"/>
      <c r="U307" s="68"/>
      <c r="V307" s="68"/>
      <c r="W307" s="68"/>
      <c r="X307" s="68"/>
      <c r="Y307" s="68"/>
      <c r="Z307" s="68"/>
      <c r="AA307" s="68"/>
      <c r="AB307" s="68"/>
      <c r="AC307" s="68"/>
    </row>
    <row r="308" spans="1:29" x14ac:dyDescent="0.3">
      <c r="A308" s="69"/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68"/>
      <c r="U308" s="68"/>
      <c r="V308" s="68"/>
      <c r="W308" s="68"/>
      <c r="X308" s="68"/>
      <c r="Y308" s="68"/>
      <c r="Z308" s="68"/>
      <c r="AA308" s="68"/>
      <c r="AB308" s="68"/>
      <c r="AC308" s="68"/>
    </row>
    <row r="309" spans="1:29" x14ac:dyDescent="0.3">
      <c r="A309" s="69"/>
      <c r="B309" s="68"/>
      <c r="C309" s="68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68"/>
      <c r="U309" s="68"/>
      <c r="V309" s="68"/>
      <c r="W309" s="68"/>
      <c r="X309" s="68"/>
      <c r="Y309" s="68"/>
      <c r="Z309" s="68"/>
      <c r="AA309" s="68"/>
      <c r="AB309" s="68"/>
      <c r="AC309" s="68"/>
    </row>
    <row r="310" spans="1:29" x14ac:dyDescent="0.3">
      <c r="A310" s="69"/>
      <c r="B310" s="68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68"/>
      <c r="U310" s="68"/>
      <c r="V310" s="68"/>
      <c r="W310" s="68"/>
      <c r="X310" s="68"/>
      <c r="Y310" s="68"/>
      <c r="Z310" s="68"/>
      <c r="AA310" s="68"/>
      <c r="AB310" s="68"/>
      <c r="AC310" s="68"/>
    </row>
    <row r="311" spans="1:29" x14ac:dyDescent="0.3">
      <c r="A311" s="69"/>
      <c r="B311" s="68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68"/>
      <c r="U311" s="68"/>
      <c r="V311" s="68"/>
      <c r="W311" s="68"/>
      <c r="X311" s="68"/>
      <c r="Y311" s="68"/>
      <c r="Z311" s="68"/>
      <c r="AA311" s="68"/>
      <c r="AB311" s="68"/>
      <c r="AC311" s="68"/>
    </row>
    <row r="312" spans="1:29" x14ac:dyDescent="0.3">
      <c r="A312" s="69"/>
      <c r="B312" s="68"/>
      <c r="C312" s="68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68"/>
      <c r="U312" s="68"/>
      <c r="V312" s="68"/>
      <c r="W312" s="68"/>
      <c r="X312" s="68"/>
      <c r="Y312" s="68"/>
      <c r="Z312" s="68"/>
      <c r="AA312" s="68"/>
      <c r="AB312" s="68"/>
      <c r="AC312" s="68"/>
    </row>
    <row r="313" spans="1:29" x14ac:dyDescent="0.3">
      <c r="A313" s="69"/>
      <c r="B313" s="68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68"/>
      <c r="U313" s="68"/>
      <c r="V313" s="68"/>
      <c r="W313" s="68"/>
      <c r="X313" s="68"/>
      <c r="Y313" s="68"/>
      <c r="Z313" s="68"/>
      <c r="AA313" s="68"/>
      <c r="AB313" s="68"/>
      <c r="AC313" s="68"/>
    </row>
    <row r="314" spans="1:29" x14ac:dyDescent="0.3">
      <c r="A314" s="69"/>
      <c r="B314" s="68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68"/>
      <c r="U314" s="68"/>
      <c r="V314" s="68"/>
      <c r="W314" s="68"/>
      <c r="X314" s="68"/>
      <c r="Y314" s="68"/>
      <c r="Z314" s="68"/>
      <c r="AA314" s="68"/>
      <c r="AB314" s="68"/>
      <c r="AC314" s="68"/>
    </row>
    <row r="315" spans="1:29" x14ac:dyDescent="0.3">
      <c r="A315" s="69"/>
      <c r="B315" s="68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68"/>
      <c r="U315" s="68"/>
      <c r="V315" s="68"/>
      <c r="W315" s="68"/>
      <c r="X315" s="68"/>
      <c r="Y315" s="68"/>
      <c r="Z315" s="68"/>
      <c r="AA315" s="68"/>
      <c r="AB315" s="68"/>
      <c r="AC315" s="68"/>
    </row>
    <row r="316" spans="1:29" x14ac:dyDescent="0.3">
      <c r="A316" s="69"/>
      <c r="B316" s="68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68"/>
      <c r="U316" s="68"/>
      <c r="V316" s="68"/>
      <c r="W316" s="68"/>
      <c r="X316" s="68"/>
      <c r="Y316" s="68"/>
      <c r="Z316" s="68"/>
      <c r="AA316" s="68"/>
      <c r="AB316" s="68"/>
      <c r="AC316" s="68"/>
    </row>
    <row r="317" spans="1:29" x14ac:dyDescent="0.3">
      <c r="A317" s="69"/>
      <c r="B317" s="68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68"/>
      <c r="U317" s="68"/>
      <c r="V317" s="68"/>
      <c r="W317" s="68"/>
      <c r="X317" s="68"/>
      <c r="Y317" s="68"/>
      <c r="Z317" s="68"/>
      <c r="AA317" s="68"/>
      <c r="AB317" s="68"/>
      <c r="AC317" s="68"/>
    </row>
    <row r="318" spans="1:29" x14ac:dyDescent="0.3">
      <c r="A318" s="69"/>
      <c r="B318" s="68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68"/>
      <c r="U318" s="68"/>
      <c r="V318" s="68"/>
      <c r="W318" s="68"/>
      <c r="X318" s="68"/>
      <c r="Y318" s="68"/>
      <c r="Z318" s="68"/>
      <c r="AA318" s="68"/>
      <c r="AB318" s="68"/>
      <c r="AC318" s="68"/>
    </row>
    <row r="319" spans="1:29" x14ac:dyDescent="0.3">
      <c r="A319" s="69"/>
      <c r="B319" s="68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68"/>
      <c r="U319" s="68"/>
      <c r="V319" s="68"/>
      <c r="W319" s="68"/>
      <c r="X319" s="68"/>
      <c r="Y319" s="68"/>
      <c r="Z319" s="68"/>
      <c r="AA319" s="68"/>
      <c r="AB319" s="68"/>
      <c r="AC319" s="68"/>
    </row>
    <row r="320" spans="1:29" x14ac:dyDescent="0.3">
      <c r="A320" s="69"/>
      <c r="B320" s="68"/>
      <c r="C320" s="68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68"/>
      <c r="U320" s="68"/>
      <c r="V320" s="68"/>
      <c r="W320" s="68"/>
      <c r="X320" s="68"/>
      <c r="Y320" s="68"/>
      <c r="Z320" s="68"/>
      <c r="AA320" s="68"/>
      <c r="AB320" s="68"/>
      <c r="AC320" s="68"/>
    </row>
    <row r="321" spans="1:29" x14ac:dyDescent="0.3">
      <c r="A321" s="69"/>
      <c r="B321" s="68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68"/>
      <c r="U321" s="68"/>
      <c r="V321" s="68"/>
      <c r="W321" s="68"/>
      <c r="X321" s="68"/>
      <c r="Y321" s="68"/>
      <c r="Z321" s="68"/>
      <c r="AA321" s="68"/>
      <c r="AB321" s="68"/>
      <c r="AC321" s="68"/>
    </row>
    <row r="322" spans="1:29" x14ac:dyDescent="0.3">
      <c r="A322" s="69"/>
      <c r="B322" s="68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68"/>
      <c r="U322" s="68"/>
      <c r="V322" s="68"/>
      <c r="W322" s="68"/>
      <c r="X322" s="68"/>
      <c r="Y322" s="68"/>
      <c r="Z322" s="68"/>
      <c r="AA322" s="68"/>
      <c r="AB322" s="68"/>
      <c r="AC322" s="68"/>
    </row>
    <row r="323" spans="1:29" x14ac:dyDescent="0.3">
      <c r="A323" s="69"/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68"/>
      <c r="U323" s="68"/>
      <c r="V323" s="68"/>
      <c r="W323" s="68"/>
      <c r="X323" s="68"/>
      <c r="Y323" s="68"/>
      <c r="Z323" s="68"/>
      <c r="AA323" s="68"/>
      <c r="AB323" s="68"/>
      <c r="AC323" s="68"/>
    </row>
    <row r="324" spans="1:29" x14ac:dyDescent="0.3">
      <c r="A324" s="69"/>
      <c r="B324" s="68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68"/>
      <c r="U324" s="68"/>
      <c r="V324" s="68"/>
      <c r="W324" s="68"/>
      <c r="X324" s="68"/>
      <c r="Y324" s="68"/>
      <c r="Z324" s="68"/>
      <c r="AA324" s="68"/>
      <c r="AB324" s="68"/>
      <c r="AC324" s="68"/>
    </row>
    <row r="325" spans="1:29" x14ac:dyDescent="0.3">
      <c r="A325" s="69"/>
      <c r="B325" s="68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68"/>
      <c r="U325" s="68"/>
      <c r="V325" s="68"/>
      <c r="W325" s="68"/>
      <c r="X325" s="68"/>
      <c r="Y325" s="68"/>
      <c r="Z325" s="68"/>
      <c r="AA325" s="68"/>
      <c r="AB325" s="68"/>
      <c r="AC325" s="68"/>
    </row>
    <row r="326" spans="1:29" x14ac:dyDescent="0.3">
      <c r="A326" s="69"/>
      <c r="B326" s="68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68"/>
      <c r="U326" s="68"/>
      <c r="V326" s="68"/>
      <c r="W326" s="68"/>
      <c r="X326" s="68"/>
      <c r="Y326" s="68"/>
      <c r="Z326" s="68"/>
      <c r="AA326" s="68"/>
      <c r="AB326" s="68"/>
      <c r="AC326" s="68"/>
    </row>
    <row r="327" spans="1:29" x14ac:dyDescent="0.3">
      <c r="A327" s="69"/>
      <c r="B327" s="68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68"/>
      <c r="U327" s="68"/>
      <c r="V327" s="68"/>
      <c r="W327" s="68"/>
      <c r="X327" s="68"/>
      <c r="Y327" s="68"/>
      <c r="Z327" s="68"/>
      <c r="AA327" s="68"/>
      <c r="AB327" s="68"/>
      <c r="AC327" s="68"/>
    </row>
    <row r="328" spans="1:29" x14ac:dyDescent="0.3">
      <c r="A328" s="69"/>
      <c r="B328" s="68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68"/>
      <c r="U328" s="68"/>
      <c r="V328" s="68"/>
      <c r="W328" s="68"/>
      <c r="X328" s="68"/>
      <c r="Y328" s="68"/>
      <c r="Z328" s="68"/>
      <c r="AA328" s="68"/>
      <c r="AB328" s="68"/>
      <c r="AC328" s="68"/>
    </row>
    <row r="329" spans="1:29" x14ac:dyDescent="0.3">
      <c r="A329" s="69"/>
      <c r="B329" s="68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68"/>
      <c r="U329" s="68"/>
      <c r="V329" s="68"/>
      <c r="W329" s="68"/>
      <c r="X329" s="68"/>
      <c r="Y329" s="68"/>
      <c r="Z329" s="68"/>
      <c r="AA329" s="68"/>
      <c r="AB329" s="68"/>
      <c r="AC329" s="68"/>
    </row>
    <row r="330" spans="1:29" x14ac:dyDescent="0.3">
      <c r="A330" s="69"/>
      <c r="B330" s="68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68"/>
      <c r="U330" s="68"/>
      <c r="V330" s="68"/>
      <c r="W330" s="68"/>
      <c r="X330" s="68"/>
      <c r="Y330" s="68"/>
      <c r="Z330" s="68"/>
      <c r="AA330" s="68"/>
      <c r="AB330" s="68"/>
      <c r="AC330" s="68"/>
    </row>
    <row r="331" spans="1:29" x14ac:dyDescent="0.3">
      <c r="A331" s="69"/>
      <c r="B331" s="68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68"/>
      <c r="U331" s="68"/>
      <c r="V331" s="68"/>
      <c r="W331" s="68"/>
      <c r="X331" s="68"/>
      <c r="Y331" s="68"/>
      <c r="Z331" s="68"/>
      <c r="AA331" s="68"/>
      <c r="AB331" s="68"/>
      <c r="AC331" s="68"/>
    </row>
    <row r="332" spans="1:29" x14ac:dyDescent="0.3">
      <c r="A332" s="69"/>
      <c r="B332" s="68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68"/>
      <c r="U332" s="68"/>
      <c r="V332" s="68"/>
      <c r="W332" s="68"/>
      <c r="X332" s="68"/>
      <c r="Y332" s="68"/>
      <c r="Z332" s="68"/>
      <c r="AA332" s="68"/>
      <c r="AB332" s="68"/>
      <c r="AC332" s="68"/>
    </row>
    <row r="333" spans="1:29" x14ac:dyDescent="0.3">
      <c r="A333" s="69"/>
      <c r="B333" s="68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68"/>
      <c r="U333" s="68"/>
      <c r="V333" s="68"/>
      <c r="W333" s="68"/>
      <c r="X333" s="68"/>
      <c r="Y333" s="68"/>
      <c r="Z333" s="68"/>
      <c r="AA333" s="68"/>
      <c r="AB333" s="68"/>
      <c r="AC333" s="68"/>
    </row>
    <row r="334" spans="1:29" x14ac:dyDescent="0.3">
      <c r="A334" s="69"/>
      <c r="B334" s="68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68"/>
      <c r="U334" s="68"/>
      <c r="V334" s="68"/>
      <c r="W334" s="68"/>
      <c r="X334" s="68"/>
      <c r="Y334" s="68"/>
      <c r="Z334" s="68"/>
      <c r="AA334" s="68"/>
      <c r="AB334" s="68"/>
      <c r="AC334" s="68"/>
    </row>
    <row r="335" spans="1:29" x14ac:dyDescent="0.3">
      <c r="A335" s="69"/>
      <c r="B335" s="68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68"/>
      <c r="U335" s="68"/>
      <c r="V335" s="68"/>
      <c r="W335" s="68"/>
      <c r="X335" s="68"/>
      <c r="Y335" s="68"/>
      <c r="Z335" s="68"/>
      <c r="AA335" s="68"/>
      <c r="AB335" s="68"/>
      <c r="AC335" s="68"/>
    </row>
    <row r="336" spans="1:29" x14ac:dyDescent="0.3">
      <c r="A336" s="69"/>
      <c r="B336" s="68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68"/>
      <c r="U336" s="68"/>
      <c r="V336" s="68"/>
      <c r="W336" s="68"/>
      <c r="X336" s="68"/>
      <c r="Y336" s="68"/>
      <c r="Z336" s="68"/>
      <c r="AA336" s="68"/>
      <c r="AB336" s="68"/>
      <c r="AC336" s="68"/>
    </row>
    <row r="337" spans="1:29" x14ac:dyDescent="0.3">
      <c r="A337" s="69"/>
      <c r="B337" s="68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68"/>
      <c r="U337" s="68"/>
      <c r="V337" s="68"/>
      <c r="W337" s="68"/>
      <c r="X337" s="68"/>
      <c r="Y337" s="68"/>
      <c r="Z337" s="68"/>
      <c r="AA337" s="68"/>
      <c r="AB337" s="68"/>
      <c r="AC337" s="68"/>
    </row>
    <row r="338" spans="1:29" x14ac:dyDescent="0.3">
      <c r="A338" s="69"/>
      <c r="B338" s="68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68"/>
      <c r="U338" s="68"/>
      <c r="V338" s="68"/>
      <c r="W338" s="68"/>
      <c r="X338" s="68"/>
      <c r="Y338" s="68"/>
      <c r="Z338" s="68"/>
      <c r="AA338" s="68"/>
      <c r="AB338" s="68"/>
      <c r="AC338" s="68"/>
    </row>
    <row r="339" spans="1:29" x14ac:dyDescent="0.3">
      <c r="A339" s="69"/>
      <c r="B339" s="68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68"/>
      <c r="U339" s="68"/>
      <c r="V339" s="68"/>
      <c r="W339" s="68"/>
      <c r="X339" s="68"/>
      <c r="Y339" s="68"/>
      <c r="Z339" s="68"/>
      <c r="AA339" s="68"/>
      <c r="AB339" s="68"/>
      <c r="AC339" s="68"/>
    </row>
    <row r="340" spans="1:29" x14ac:dyDescent="0.3">
      <c r="A340" s="69"/>
      <c r="B340" s="68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68"/>
      <c r="U340" s="68"/>
      <c r="V340" s="68"/>
      <c r="W340" s="68"/>
      <c r="X340" s="68"/>
      <c r="Y340" s="68"/>
      <c r="Z340" s="68"/>
      <c r="AA340" s="68"/>
      <c r="AB340" s="68"/>
      <c r="AC340" s="68"/>
    </row>
    <row r="341" spans="1:29" x14ac:dyDescent="0.3">
      <c r="A341" s="69"/>
      <c r="B341" s="68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68"/>
      <c r="U341" s="68"/>
      <c r="V341" s="68"/>
      <c r="W341" s="68"/>
      <c r="X341" s="68"/>
      <c r="Y341" s="68"/>
      <c r="Z341" s="68"/>
      <c r="AA341" s="68"/>
      <c r="AB341" s="68"/>
      <c r="AC341" s="68"/>
    </row>
    <row r="342" spans="1:29" x14ac:dyDescent="0.3">
      <c r="A342" s="69"/>
      <c r="B342" s="68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68"/>
      <c r="U342" s="68"/>
      <c r="V342" s="68"/>
      <c r="W342" s="68"/>
      <c r="X342" s="68"/>
      <c r="Y342" s="68"/>
      <c r="Z342" s="68"/>
      <c r="AA342" s="68"/>
      <c r="AB342" s="68"/>
      <c r="AC342" s="68"/>
    </row>
    <row r="343" spans="1:29" x14ac:dyDescent="0.3">
      <c r="A343" s="69"/>
      <c r="B343" s="68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68"/>
      <c r="U343" s="68"/>
      <c r="V343" s="68"/>
      <c r="W343" s="68"/>
      <c r="X343" s="68"/>
      <c r="Y343" s="68"/>
      <c r="Z343" s="68"/>
      <c r="AA343" s="68"/>
      <c r="AB343" s="68"/>
      <c r="AC343" s="68"/>
    </row>
    <row r="344" spans="1:29" x14ac:dyDescent="0.3">
      <c r="A344" s="69"/>
      <c r="B344" s="68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68"/>
      <c r="U344" s="68"/>
      <c r="V344" s="68"/>
      <c r="W344" s="68"/>
      <c r="X344" s="68"/>
      <c r="Y344" s="68"/>
      <c r="Z344" s="68"/>
      <c r="AA344" s="68"/>
      <c r="AB344" s="68"/>
      <c r="AC344" s="68"/>
    </row>
    <row r="345" spans="1:29" x14ac:dyDescent="0.3">
      <c r="A345" s="69"/>
      <c r="B345" s="68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68"/>
      <c r="U345" s="68"/>
      <c r="V345" s="68"/>
      <c r="W345" s="68"/>
      <c r="X345" s="68"/>
      <c r="Y345" s="68"/>
      <c r="Z345" s="68"/>
      <c r="AA345" s="68"/>
      <c r="AB345" s="68"/>
      <c r="AC345" s="68"/>
    </row>
    <row r="346" spans="1:29" x14ac:dyDescent="0.3">
      <c r="A346" s="69"/>
      <c r="B346" s="68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68"/>
      <c r="U346" s="68"/>
      <c r="V346" s="68"/>
      <c r="W346" s="68"/>
      <c r="X346" s="68"/>
      <c r="Y346" s="68"/>
      <c r="Z346" s="68"/>
      <c r="AA346" s="68"/>
      <c r="AB346" s="68"/>
      <c r="AC346" s="68"/>
    </row>
    <row r="347" spans="1:29" x14ac:dyDescent="0.3">
      <c r="A347" s="69"/>
      <c r="B347" s="68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68"/>
      <c r="U347" s="68"/>
      <c r="V347" s="68"/>
      <c r="W347" s="68"/>
      <c r="X347" s="68"/>
      <c r="Y347" s="68"/>
      <c r="Z347" s="68"/>
      <c r="AA347" s="68"/>
      <c r="AB347" s="68"/>
      <c r="AC347" s="68"/>
    </row>
    <row r="348" spans="1:29" x14ac:dyDescent="0.3">
      <c r="A348" s="69"/>
      <c r="B348" s="68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68"/>
      <c r="U348" s="68"/>
      <c r="V348" s="68"/>
      <c r="W348" s="68"/>
      <c r="X348" s="68"/>
      <c r="Y348" s="68"/>
      <c r="Z348" s="68"/>
      <c r="AA348" s="68"/>
      <c r="AB348" s="68"/>
      <c r="AC348" s="68"/>
    </row>
    <row r="349" spans="1:29" x14ac:dyDescent="0.3">
      <c r="A349" s="69"/>
      <c r="B349" s="68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68"/>
      <c r="U349" s="68"/>
      <c r="V349" s="68"/>
      <c r="W349" s="68"/>
      <c r="X349" s="68"/>
      <c r="Y349" s="68"/>
      <c r="Z349" s="68"/>
      <c r="AA349" s="68"/>
      <c r="AB349" s="68"/>
      <c r="AC349" s="68"/>
    </row>
    <row r="350" spans="1:29" x14ac:dyDescent="0.3">
      <c r="A350" s="69"/>
      <c r="B350" s="68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68"/>
      <c r="U350" s="68"/>
      <c r="V350" s="68"/>
      <c r="W350" s="68"/>
      <c r="X350" s="68"/>
      <c r="Y350" s="68"/>
      <c r="Z350" s="68"/>
      <c r="AA350" s="68"/>
      <c r="AB350" s="68"/>
      <c r="AC350" s="68"/>
    </row>
    <row r="351" spans="1:29" x14ac:dyDescent="0.3">
      <c r="A351" s="69"/>
      <c r="B351" s="68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68"/>
      <c r="U351" s="68"/>
      <c r="V351" s="68"/>
      <c r="W351" s="68"/>
      <c r="X351" s="68"/>
      <c r="Y351" s="68"/>
      <c r="Z351" s="68"/>
      <c r="AA351" s="68"/>
      <c r="AB351" s="68"/>
      <c r="AC351" s="68"/>
    </row>
    <row r="352" spans="1:29" x14ac:dyDescent="0.3">
      <c r="A352" s="69"/>
      <c r="B352" s="68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68"/>
      <c r="U352" s="68"/>
      <c r="V352" s="68"/>
      <c r="W352" s="68"/>
      <c r="X352" s="68"/>
      <c r="Y352" s="68"/>
      <c r="Z352" s="68"/>
      <c r="AA352" s="68"/>
      <c r="AB352" s="68"/>
      <c r="AC352" s="68"/>
    </row>
    <row r="353" spans="1:29" x14ac:dyDescent="0.3">
      <c r="A353" s="69"/>
      <c r="B353" s="68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68"/>
      <c r="U353" s="68"/>
      <c r="V353" s="68"/>
      <c r="W353" s="68"/>
      <c r="X353" s="68"/>
      <c r="Y353" s="68"/>
      <c r="Z353" s="68"/>
      <c r="AA353" s="68"/>
      <c r="AB353" s="68"/>
      <c r="AC353" s="68"/>
    </row>
    <row r="354" spans="1:29" x14ac:dyDescent="0.3">
      <c r="A354" s="69"/>
      <c r="B354" s="68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68"/>
      <c r="U354" s="68"/>
      <c r="V354" s="68"/>
      <c r="W354" s="68"/>
      <c r="X354" s="68"/>
      <c r="Y354" s="68"/>
      <c r="Z354" s="68"/>
      <c r="AA354" s="68"/>
      <c r="AB354" s="68"/>
      <c r="AC354" s="68"/>
    </row>
    <row r="355" spans="1:29" x14ac:dyDescent="0.3">
      <c r="A355" s="69"/>
      <c r="B355" s="68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68"/>
      <c r="U355" s="68"/>
      <c r="V355" s="68"/>
      <c r="W355" s="68"/>
      <c r="X355" s="68"/>
      <c r="Y355" s="68"/>
      <c r="Z355" s="68"/>
      <c r="AA355" s="68"/>
      <c r="AB355" s="68"/>
      <c r="AC355" s="68"/>
    </row>
    <row r="356" spans="1:29" x14ac:dyDescent="0.3">
      <c r="A356" s="69"/>
      <c r="B356" s="68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68"/>
      <c r="U356" s="68"/>
      <c r="V356" s="68"/>
      <c r="W356" s="68"/>
      <c r="X356" s="68"/>
      <c r="Y356" s="68"/>
      <c r="Z356" s="68"/>
      <c r="AA356" s="68"/>
      <c r="AB356" s="68"/>
      <c r="AC356" s="68"/>
    </row>
    <row r="357" spans="1:29" x14ac:dyDescent="0.3">
      <c r="A357" s="69"/>
      <c r="B357" s="68"/>
      <c r="C357" s="68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68"/>
      <c r="U357" s="68"/>
      <c r="V357" s="68"/>
      <c r="W357" s="68"/>
      <c r="X357" s="68"/>
      <c r="Y357" s="68"/>
      <c r="Z357" s="68"/>
      <c r="AA357" s="68"/>
      <c r="AB357" s="68"/>
      <c r="AC357" s="68"/>
    </row>
    <row r="358" spans="1:29" x14ac:dyDescent="0.3">
      <c r="A358" s="69"/>
      <c r="B358" s="68"/>
      <c r="C358" s="68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68"/>
      <c r="U358" s="68"/>
      <c r="V358" s="68"/>
      <c r="W358" s="68"/>
      <c r="X358" s="68"/>
      <c r="Y358" s="68"/>
      <c r="Z358" s="68"/>
      <c r="AA358" s="68"/>
      <c r="AB358" s="68"/>
      <c r="AC358" s="68"/>
    </row>
    <row r="359" spans="1:29" x14ac:dyDescent="0.3">
      <c r="A359" s="69"/>
      <c r="B359" s="68"/>
      <c r="C359" s="68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68"/>
      <c r="U359" s="68"/>
      <c r="V359" s="68"/>
      <c r="W359" s="68"/>
      <c r="X359" s="68"/>
      <c r="Y359" s="68"/>
      <c r="Z359" s="68"/>
      <c r="AA359" s="68"/>
      <c r="AB359" s="68"/>
      <c r="AC359" s="68"/>
    </row>
    <row r="360" spans="1:29" x14ac:dyDescent="0.3">
      <c r="A360" s="69"/>
      <c r="B360" s="68"/>
      <c r="C360" s="68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68"/>
      <c r="U360" s="68"/>
      <c r="V360" s="68"/>
      <c r="W360" s="68"/>
      <c r="X360" s="68"/>
      <c r="Y360" s="68"/>
      <c r="Z360" s="68"/>
      <c r="AA360" s="68"/>
      <c r="AB360" s="68"/>
      <c r="AC360" s="68"/>
    </row>
    <row r="361" spans="1:29" x14ac:dyDescent="0.3">
      <c r="A361" s="69"/>
      <c r="B361" s="68"/>
      <c r="C361" s="68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68"/>
      <c r="U361" s="68"/>
      <c r="V361" s="68"/>
      <c r="W361" s="68"/>
      <c r="X361" s="68"/>
      <c r="Y361" s="68"/>
      <c r="Z361" s="68"/>
      <c r="AA361" s="68"/>
      <c r="AB361" s="68"/>
      <c r="AC361" s="68"/>
    </row>
    <row r="362" spans="1:29" x14ac:dyDescent="0.3">
      <c r="A362" s="69"/>
      <c r="B362" s="68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68"/>
      <c r="U362" s="68"/>
      <c r="V362" s="68"/>
      <c r="W362" s="68"/>
      <c r="X362" s="68"/>
      <c r="Y362" s="68"/>
      <c r="Z362" s="68"/>
      <c r="AA362" s="68"/>
      <c r="AB362" s="68"/>
      <c r="AC362" s="68"/>
    </row>
    <row r="363" spans="1:29" x14ac:dyDescent="0.3">
      <c r="A363" s="69"/>
      <c r="B363" s="68"/>
      <c r="C363" s="68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68"/>
      <c r="U363" s="68"/>
      <c r="V363" s="68"/>
      <c r="W363" s="68"/>
      <c r="X363" s="68"/>
      <c r="Y363" s="68"/>
      <c r="Z363" s="68"/>
      <c r="AA363" s="68"/>
      <c r="AB363" s="68"/>
      <c r="AC363" s="68"/>
    </row>
    <row r="364" spans="1:29" x14ac:dyDescent="0.3">
      <c r="A364" s="69"/>
      <c r="B364" s="68"/>
      <c r="C364" s="68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68"/>
      <c r="U364" s="68"/>
      <c r="V364" s="68"/>
      <c r="W364" s="68"/>
      <c r="X364" s="68"/>
      <c r="Y364" s="68"/>
      <c r="Z364" s="68"/>
      <c r="AA364" s="68"/>
      <c r="AB364" s="68"/>
      <c r="AC364" s="68"/>
    </row>
    <row r="365" spans="1:29" x14ac:dyDescent="0.3">
      <c r="A365" s="69"/>
      <c r="B365" s="68"/>
      <c r="C365" s="68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68"/>
      <c r="U365" s="68"/>
      <c r="V365" s="68"/>
      <c r="W365" s="68"/>
      <c r="X365" s="68"/>
      <c r="Y365" s="68"/>
      <c r="Z365" s="68"/>
      <c r="AA365" s="68"/>
      <c r="AB365" s="68"/>
      <c r="AC365" s="68"/>
    </row>
    <row r="366" spans="1:29" x14ac:dyDescent="0.3">
      <c r="A366" s="69"/>
      <c r="B366" s="68"/>
      <c r="C366" s="68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68"/>
      <c r="U366" s="68"/>
      <c r="V366" s="68"/>
      <c r="W366" s="68"/>
      <c r="X366" s="68"/>
      <c r="Y366" s="68"/>
      <c r="Z366" s="68"/>
      <c r="AA366" s="68"/>
      <c r="AB366" s="68"/>
      <c r="AC366" s="68"/>
    </row>
    <row r="367" spans="1:29" x14ac:dyDescent="0.3">
      <c r="A367" s="69"/>
      <c r="B367" s="68"/>
      <c r="C367" s="68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68"/>
      <c r="U367" s="68"/>
      <c r="V367" s="68"/>
      <c r="W367" s="68"/>
      <c r="X367" s="68"/>
      <c r="Y367" s="68"/>
      <c r="Z367" s="68"/>
      <c r="AA367" s="68"/>
      <c r="AB367" s="68"/>
      <c r="AC367" s="68"/>
    </row>
    <row r="368" spans="1:29" x14ac:dyDescent="0.3">
      <c r="A368" s="69"/>
      <c r="B368" s="68"/>
      <c r="C368" s="68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68"/>
      <c r="U368" s="68"/>
      <c r="V368" s="68"/>
      <c r="W368" s="68"/>
      <c r="X368" s="68"/>
      <c r="Y368" s="68"/>
      <c r="Z368" s="68"/>
      <c r="AA368" s="68"/>
      <c r="AB368" s="68"/>
      <c r="AC368" s="68"/>
    </row>
    <row r="369" spans="1:29" x14ac:dyDescent="0.3">
      <c r="A369" s="69"/>
      <c r="B369" s="68"/>
      <c r="C369" s="68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68"/>
      <c r="U369" s="68"/>
      <c r="V369" s="68"/>
      <c r="W369" s="68"/>
      <c r="X369" s="68"/>
      <c r="Y369" s="68"/>
      <c r="Z369" s="68"/>
      <c r="AA369" s="68"/>
      <c r="AB369" s="68"/>
      <c r="AC369" s="68"/>
    </row>
    <row r="370" spans="1:29" x14ac:dyDescent="0.3">
      <c r="A370" s="69"/>
      <c r="B370" s="68"/>
      <c r="C370" s="68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68"/>
      <c r="U370" s="68"/>
      <c r="V370" s="68"/>
      <c r="W370" s="68"/>
      <c r="X370" s="68"/>
      <c r="Y370" s="68"/>
      <c r="Z370" s="68"/>
      <c r="AA370" s="68"/>
      <c r="AB370" s="68"/>
      <c r="AC370" s="68"/>
    </row>
    <row r="371" spans="1:29" x14ac:dyDescent="0.3">
      <c r="A371" s="69"/>
      <c r="B371" s="68"/>
      <c r="C371" s="68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68"/>
      <c r="U371" s="68"/>
      <c r="V371" s="68"/>
      <c r="W371" s="68"/>
      <c r="X371" s="68"/>
      <c r="Y371" s="68"/>
      <c r="Z371" s="68"/>
      <c r="AA371" s="68"/>
      <c r="AB371" s="68"/>
      <c r="AC371" s="68"/>
    </row>
    <row r="372" spans="1:29" x14ac:dyDescent="0.3">
      <c r="A372" s="69"/>
      <c r="B372" s="68"/>
      <c r="C372" s="68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68"/>
      <c r="U372" s="68"/>
      <c r="V372" s="68"/>
      <c r="W372" s="68"/>
      <c r="X372" s="68"/>
      <c r="Y372" s="68"/>
      <c r="Z372" s="68"/>
      <c r="AA372" s="68"/>
      <c r="AB372" s="68"/>
      <c r="AC372" s="68"/>
    </row>
    <row r="373" spans="1:29" x14ac:dyDescent="0.3">
      <c r="A373" s="69"/>
      <c r="B373" s="68"/>
      <c r="C373" s="68"/>
      <c r="D373" s="68"/>
      <c r="E373" s="68"/>
      <c r="F373" s="68"/>
      <c r="G373" s="68"/>
      <c r="H373" s="68"/>
      <c r="I373" s="68"/>
      <c r="J373" s="68"/>
      <c r="K373" s="68"/>
      <c r="L373" s="68"/>
      <c r="M373" s="68"/>
      <c r="N373" s="68"/>
      <c r="O373" s="68"/>
      <c r="P373" s="68"/>
      <c r="Q373" s="68"/>
      <c r="R373" s="68"/>
      <c r="S373" s="68"/>
      <c r="T373" s="68"/>
      <c r="U373" s="68"/>
      <c r="V373" s="68"/>
      <c r="W373" s="68"/>
      <c r="X373" s="68"/>
      <c r="Y373" s="68"/>
      <c r="Z373" s="68"/>
      <c r="AA373" s="68"/>
      <c r="AB373" s="68"/>
      <c r="AC373" s="68"/>
    </row>
    <row r="374" spans="1:29" x14ac:dyDescent="0.3">
      <c r="A374" s="69"/>
      <c r="B374" s="68"/>
      <c r="C374" s="68"/>
      <c r="D374" s="68"/>
      <c r="E374" s="68"/>
      <c r="F374" s="68"/>
      <c r="G374" s="68"/>
      <c r="H374" s="68"/>
      <c r="I374" s="68"/>
      <c r="J374" s="68"/>
      <c r="K374" s="68"/>
      <c r="L374" s="68"/>
      <c r="M374" s="68"/>
      <c r="N374" s="68"/>
      <c r="O374" s="68"/>
      <c r="P374" s="68"/>
      <c r="Q374" s="68"/>
      <c r="R374" s="68"/>
      <c r="S374" s="68"/>
      <c r="T374" s="68"/>
      <c r="U374" s="68"/>
      <c r="V374" s="68"/>
      <c r="W374" s="68"/>
      <c r="X374" s="68"/>
      <c r="Y374" s="68"/>
      <c r="Z374" s="68"/>
      <c r="AA374" s="68"/>
      <c r="AB374" s="68"/>
      <c r="AC374" s="68"/>
    </row>
    <row r="375" spans="1:29" x14ac:dyDescent="0.3">
      <c r="A375" s="69"/>
      <c r="B375" s="68"/>
      <c r="C375" s="68"/>
      <c r="D375" s="68"/>
      <c r="E375" s="68"/>
      <c r="F375" s="68"/>
      <c r="G375" s="68"/>
      <c r="H375" s="68"/>
      <c r="I375" s="68"/>
      <c r="J375" s="68"/>
      <c r="K375" s="68"/>
      <c r="L375" s="68"/>
      <c r="M375" s="68"/>
      <c r="N375" s="68"/>
      <c r="O375" s="68"/>
      <c r="P375" s="68"/>
      <c r="Q375" s="68"/>
      <c r="R375" s="68"/>
      <c r="S375" s="68"/>
      <c r="T375" s="68"/>
      <c r="U375" s="68"/>
      <c r="V375" s="68"/>
      <c r="W375" s="68"/>
      <c r="X375" s="68"/>
      <c r="Y375" s="68"/>
      <c r="Z375" s="68"/>
      <c r="AA375" s="68"/>
      <c r="AB375" s="68"/>
      <c r="AC375" s="68"/>
    </row>
    <row r="376" spans="1:29" x14ac:dyDescent="0.3">
      <c r="A376" s="69"/>
      <c r="B376" s="68"/>
      <c r="C376" s="68"/>
      <c r="D376" s="68"/>
      <c r="E376" s="68"/>
      <c r="F376" s="68"/>
      <c r="G376" s="68"/>
      <c r="H376" s="68"/>
      <c r="I376" s="68"/>
      <c r="J376" s="68"/>
      <c r="K376" s="68"/>
      <c r="L376" s="68"/>
      <c r="M376" s="68"/>
      <c r="N376" s="68"/>
      <c r="O376" s="68"/>
      <c r="P376" s="68"/>
      <c r="Q376" s="68"/>
      <c r="R376" s="68"/>
      <c r="S376" s="68"/>
      <c r="T376" s="68"/>
      <c r="U376" s="68"/>
      <c r="V376" s="68"/>
      <c r="W376" s="68"/>
      <c r="X376" s="68"/>
      <c r="Y376" s="68"/>
      <c r="Z376" s="68"/>
      <c r="AA376" s="68"/>
      <c r="AB376" s="68"/>
      <c r="AC376" s="68"/>
    </row>
    <row r="377" spans="1:29" x14ac:dyDescent="0.3">
      <c r="A377" s="69"/>
      <c r="B377" s="68"/>
      <c r="C377" s="68"/>
      <c r="D377" s="68"/>
      <c r="E377" s="68"/>
      <c r="F377" s="68"/>
      <c r="G377" s="68"/>
      <c r="H377" s="68"/>
      <c r="I377" s="68"/>
      <c r="J377" s="68"/>
      <c r="K377" s="68"/>
      <c r="L377" s="68"/>
      <c r="M377" s="68"/>
      <c r="N377" s="68"/>
      <c r="O377" s="68"/>
      <c r="P377" s="68"/>
      <c r="Q377" s="68"/>
      <c r="R377" s="68"/>
      <c r="S377" s="68"/>
      <c r="T377" s="68"/>
      <c r="U377" s="68"/>
      <c r="V377" s="68"/>
      <c r="W377" s="68"/>
      <c r="X377" s="68"/>
      <c r="Y377" s="68"/>
      <c r="Z377" s="68"/>
      <c r="AA377" s="68"/>
      <c r="AB377" s="68"/>
      <c r="AC377" s="68"/>
    </row>
    <row r="378" spans="1:29" x14ac:dyDescent="0.3">
      <c r="A378" s="69"/>
      <c r="B378" s="68"/>
      <c r="C378" s="68"/>
      <c r="D378" s="68"/>
      <c r="E378" s="68"/>
      <c r="F378" s="68"/>
      <c r="G378" s="68"/>
      <c r="H378" s="68"/>
      <c r="I378" s="68"/>
      <c r="J378" s="68"/>
      <c r="K378" s="68"/>
      <c r="L378" s="68"/>
      <c r="M378" s="68"/>
      <c r="N378" s="68"/>
      <c r="O378" s="68"/>
      <c r="P378" s="68"/>
      <c r="Q378" s="68"/>
      <c r="R378" s="68"/>
      <c r="S378" s="68"/>
      <c r="T378" s="68"/>
      <c r="U378" s="68"/>
      <c r="V378" s="68"/>
      <c r="W378" s="68"/>
      <c r="X378" s="68"/>
      <c r="Y378" s="68"/>
      <c r="Z378" s="68"/>
      <c r="AA378" s="68"/>
      <c r="AB378" s="68"/>
      <c r="AC378" s="68"/>
    </row>
    <row r="379" spans="1:29" x14ac:dyDescent="0.3">
      <c r="A379" s="69"/>
      <c r="B379" s="68"/>
      <c r="C379" s="68"/>
      <c r="D379" s="68"/>
      <c r="E379" s="68"/>
      <c r="F379" s="68"/>
      <c r="G379" s="68"/>
      <c r="H379" s="68"/>
      <c r="I379" s="68"/>
      <c r="J379" s="68"/>
      <c r="K379" s="68"/>
      <c r="L379" s="68"/>
      <c r="M379" s="68"/>
      <c r="N379" s="68"/>
      <c r="O379" s="68"/>
      <c r="P379" s="68"/>
      <c r="Q379" s="68"/>
      <c r="R379" s="68"/>
      <c r="S379" s="68"/>
      <c r="T379" s="68"/>
      <c r="U379" s="68"/>
      <c r="V379" s="68"/>
      <c r="W379" s="68"/>
      <c r="X379" s="68"/>
      <c r="Y379" s="68"/>
      <c r="Z379" s="68"/>
      <c r="AA379" s="68"/>
      <c r="AB379" s="68"/>
      <c r="AC379" s="68"/>
    </row>
    <row r="380" spans="1:29" x14ac:dyDescent="0.3">
      <c r="A380" s="69"/>
      <c r="B380" s="68"/>
      <c r="C380" s="68"/>
      <c r="D380" s="68"/>
      <c r="E380" s="68"/>
      <c r="F380" s="68"/>
      <c r="G380" s="68"/>
      <c r="H380" s="68"/>
      <c r="I380" s="68"/>
      <c r="J380" s="68"/>
      <c r="K380" s="68"/>
      <c r="L380" s="68"/>
      <c r="M380" s="68"/>
      <c r="N380" s="68"/>
      <c r="O380" s="68"/>
      <c r="P380" s="68"/>
      <c r="Q380" s="68"/>
      <c r="R380" s="68"/>
      <c r="S380" s="68"/>
      <c r="T380" s="68"/>
      <c r="U380" s="68"/>
      <c r="V380" s="68"/>
      <c r="W380" s="68"/>
      <c r="X380" s="68"/>
      <c r="Y380" s="68"/>
      <c r="Z380" s="68"/>
      <c r="AA380" s="68"/>
      <c r="AB380" s="68"/>
      <c r="AC380" s="68"/>
    </row>
    <row r="381" spans="1:29" x14ac:dyDescent="0.3">
      <c r="A381" s="69"/>
      <c r="B381" s="68"/>
      <c r="C381" s="68"/>
      <c r="D381" s="68"/>
      <c r="E381" s="68"/>
      <c r="F381" s="68"/>
      <c r="G381" s="68"/>
      <c r="H381" s="68"/>
      <c r="I381" s="68"/>
      <c r="J381" s="68"/>
      <c r="K381" s="68"/>
      <c r="L381" s="68"/>
      <c r="M381" s="68"/>
      <c r="N381" s="68"/>
      <c r="O381" s="68"/>
      <c r="P381" s="68"/>
      <c r="Q381" s="68"/>
      <c r="R381" s="68"/>
      <c r="S381" s="68"/>
      <c r="T381" s="68"/>
      <c r="U381" s="68"/>
      <c r="V381" s="68"/>
      <c r="W381" s="68"/>
      <c r="X381" s="68"/>
      <c r="Y381" s="68"/>
      <c r="Z381" s="68"/>
      <c r="AA381" s="68"/>
      <c r="AB381" s="68"/>
      <c r="AC381" s="68"/>
    </row>
    <row r="382" spans="1:29" x14ac:dyDescent="0.3">
      <c r="A382" s="69"/>
      <c r="B382" s="68"/>
      <c r="C382" s="68"/>
      <c r="D382" s="68"/>
      <c r="E382" s="68"/>
      <c r="F382" s="68"/>
      <c r="G382" s="68"/>
      <c r="H382" s="68"/>
      <c r="I382" s="68"/>
      <c r="J382" s="68"/>
      <c r="K382" s="68"/>
      <c r="L382" s="68"/>
      <c r="M382" s="68"/>
      <c r="N382" s="68"/>
      <c r="O382" s="68"/>
      <c r="P382" s="68"/>
      <c r="Q382" s="68"/>
      <c r="R382" s="68"/>
      <c r="S382" s="68"/>
      <c r="T382" s="68"/>
      <c r="U382" s="68"/>
      <c r="V382" s="68"/>
      <c r="W382" s="68"/>
      <c r="X382" s="68"/>
      <c r="Y382" s="68"/>
      <c r="Z382" s="68"/>
      <c r="AA382" s="68"/>
      <c r="AB382" s="68"/>
      <c r="AC382" s="68"/>
    </row>
    <row r="383" spans="1:29" x14ac:dyDescent="0.3">
      <c r="A383" s="69"/>
      <c r="B383" s="68"/>
      <c r="C383" s="68"/>
      <c r="D383" s="68"/>
      <c r="E383" s="68"/>
      <c r="F383" s="68"/>
      <c r="G383" s="68"/>
      <c r="H383" s="68"/>
      <c r="I383" s="68"/>
      <c r="J383" s="68"/>
      <c r="K383" s="68"/>
      <c r="L383" s="68"/>
      <c r="M383" s="68"/>
      <c r="N383" s="68"/>
      <c r="O383" s="68"/>
      <c r="P383" s="68"/>
      <c r="Q383" s="68"/>
      <c r="R383" s="68"/>
      <c r="S383" s="68"/>
      <c r="T383" s="68"/>
      <c r="U383" s="68"/>
      <c r="V383" s="68"/>
      <c r="W383" s="68"/>
      <c r="X383" s="68"/>
      <c r="Y383" s="68"/>
      <c r="Z383" s="68"/>
      <c r="AA383" s="68"/>
      <c r="AB383" s="68"/>
      <c r="AC383" s="68"/>
    </row>
    <row r="384" spans="1:29" x14ac:dyDescent="0.3">
      <c r="A384" s="69"/>
      <c r="B384" s="68"/>
      <c r="C384" s="68"/>
      <c r="D384" s="68"/>
      <c r="E384" s="68"/>
      <c r="F384" s="68"/>
      <c r="G384" s="68"/>
      <c r="H384" s="68"/>
      <c r="I384" s="68"/>
      <c r="J384" s="68"/>
      <c r="K384" s="68"/>
      <c r="L384" s="68"/>
      <c r="M384" s="68"/>
      <c r="N384" s="68"/>
      <c r="O384" s="68"/>
      <c r="P384" s="68"/>
      <c r="Q384" s="68"/>
      <c r="R384" s="68"/>
      <c r="S384" s="68"/>
      <c r="T384" s="68"/>
      <c r="U384" s="68"/>
      <c r="V384" s="68"/>
      <c r="W384" s="68"/>
      <c r="X384" s="68"/>
      <c r="Y384" s="68"/>
      <c r="Z384" s="68"/>
      <c r="AA384" s="68"/>
      <c r="AB384" s="68"/>
      <c r="AC384" s="68"/>
    </row>
    <row r="385" spans="1:29" x14ac:dyDescent="0.3">
      <c r="A385" s="69"/>
      <c r="B385" s="68"/>
      <c r="C385" s="68"/>
      <c r="D385" s="68"/>
      <c r="E385" s="68"/>
      <c r="F385" s="68"/>
      <c r="G385" s="68"/>
      <c r="H385" s="68"/>
      <c r="I385" s="68"/>
      <c r="J385" s="68"/>
      <c r="K385" s="68"/>
      <c r="L385" s="68"/>
      <c r="M385" s="68"/>
      <c r="N385" s="68"/>
      <c r="O385" s="68"/>
      <c r="P385" s="68"/>
      <c r="Q385" s="68"/>
      <c r="R385" s="68"/>
      <c r="S385" s="68"/>
      <c r="T385" s="68"/>
      <c r="U385" s="68"/>
      <c r="V385" s="68"/>
      <c r="W385" s="68"/>
      <c r="X385" s="68"/>
      <c r="Y385" s="68"/>
      <c r="Z385" s="68"/>
      <c r="AA385" s="68"/>
      <c r="AB385" s="68"/>
      <c r="AC385" s="68"/>
    </row>
    <row r="386" spans="1:29" x14ac:dyDescent="0.3">
      <c r="A386" s="69"/>
      <c r="B386" s="68"/>
      <c r="C386" s="68"/>
      <c r="D386" s="68"/>
      <c r="E386" s="68"/>
      <c r="F386" s="68"/>
      <c r="G386" s="68"/>
      <c r="H386" s="68"/>
      <c r="I386" s="68"/>
      <c r="J386" s="68"/>
      <c r="K386" s="68"/>
      <c r="L386" s="68"/>
      <c r="M386" s="68"/>
      <c r="N386" s="68"/>
      <c r="O386" s="68"/>
      <c r="P386" s="68"/>
      <c r="Q386" s="68"/>
      <c r="R386" s="68"/>
      <c r="S386" s="68"/>
      <c r="T386" s="68"/>
      <c r="U386" s="68"/>
      <c r="V386" s="68"/>
      <c r="W386" s="68"/>
      <c r="X386" s="68"/>
      <c r="Y386" s="68"/>
      <c r="Z386" s="68"/>
      <c r="AA386" s="68"/>
      <c r="AB386" s="68"/>
      <c r="AC386" s="68"/>
    </row>
    <row r="387" spans="1:29" x14ac:dyDescent="0.3">
      <c r="A387" s="69"/>
      <c r="B387" s="68"/>
      <c r="C387" s="68"/>
      <c r="D387" s="68"/>
      <c r="E387" s="68"/>
      <c r="F387" s="68"/>
      <c r="G387" s="68"/>
      <c r="H387" s="68"/>
      <c r="I387" s="68"/>
      <c r="J387" s="68"/>
      <c r="K387" s="68"/>
      <c r="L387" s="68"/>
      <c r="M387" s="68"/>
      <c r="N387" s="68"/>
      <c r="O387" s="68"/>
      <c r="P387" s="68"/>
      <c r="Q387" s="68"/>
      <c r="R387" s="68"/>
      <c r="S387" s="68"/>
      <c r="T387" s="68"/>
      <c r="U387" s="68"/>
      <c r="V387" s="68"/>
      <c r="W387" s="68"/>
      <c r="X387" s="68"/>
      <c r="Y387" s="68"/>
      <c r="Z387" s="68"/>
      <c r="AA387" s="68"/>
      <c r="AB387" s="68"/>
      <c r="AC387" s="68"/>
    </row>
    <row r="388" spans="1:29" x14ac:dyDescent="0.3">
      <c r="A388" s="69"/>
      <c r="B388" s="68"/>
      <c r="C388" s="68"/>
      <c r="D388" s="68"/>
      <c r="E388" s="68"/>
      <c r="F388" s="68"/>
      <c r="G388" s="68"/>
      <c r="H388" s="68"/>
      <c r="I388" s="68"/>
      <c r="J388" s="68"/>
      <c r="K388" s="68"/>
      <c r="L388" s="68"/>
      <c r="M388" s="68"/>
      <c r="N388" s="68"/>
      <c r="O388" s="68"/>
      <c r="P388" s="68"/>
      <c r="Q388" s="68"/>
      <c r="R388" s="68"/>
      <c r="S388" s="68"/>
      <c r="T388" s="68"/>
      <c r="U388" s="68"/>
      <c r="V388" s="68"/>
      <c r="W388" s="68"/>
      <c r="X388" s="68"/>
      <c r="Y388" s="68"/>
      <c r="Z388" s="68"/>
      <c r="AA388" s="68"/>
      <c r="AB388" s="68"/>
      <c r="AC388" s="68"/>
    </row>
    <row r="389" spans="1:29" x14ac:dyDescent="0.3">
      <c r="A389" s="69"/>
      <c r="B389" s="68"/>
      <c r="C389" s="68"/>
      <c r="D389" s="68"/>
      <c r="E389" s="68"/>
      <c r="F389" s="68"/>
      <c r="G389" s="68"/>
      <c r="H389" s="68"/>
      <c r="I389" s="68"/>
      <c r="J389" s="68"/>
      <c r="K389" s="68"/>
      <c r="L389" s="68"/>
      <c r="M389" s="68"/>
      <c r="N389" s="68"/>
      <c r="O389" s="68"/>
      <c r="P389" s="68"/>
      <c r="Q389" s="68"/>
      <c r="R389" s="68"/>
      <c r="S389" s="68"/>
      <c r="T389" s="68"/>
      <c r="U389" s="68"/>
      <c r="V389" s="68"/>
      <c r="W389" s="68"/>
      <c r="X389" s="68"/>
      <c r="Y389" s="68"/>
      <c r="Z389" s="68"/>
      <c r="AA389" s="68"/>
      <c r="AB389" s="68"/>
      <c r="AC389" s="68"/>
    </row>
    <row r="390" spans="1:29" x14ac:dyDescent="0.3">
      <c r="A390" s="69"/>
      <c r="B390" s="68"/>
      <c r="C390" s="68"/>
      <c r="D390" s="68"/>
      <c r="E390" s="68"/>
      <c r="F390" s="68"/>
      <c r="G390" s="68"/>
      <c r="H390" s="68"/>
      <c r="I390" s="68"/>
      <c r="J390" s="68"/>
      <c r="K390" s="68"/>
      <c r="L390" s="68"/>
      <c r="M390" s="68"/>
      <c r="N390" s="68"/>
      <c r="O390" s="68"/>
      <c r="P390" s="68"/>
      <c r="Q390" s="68"/>
      <c r="R390" s="68"/>
      <c r="S390" s="68"/>
      <c r="T390" s="68"/>
      <c r="U390" s="68"/>
      <c r="V390" s="68"/>
      <c r="W390" s="68"/>
      <c r="X390" s="68"/>
      <c r="Y390" s="68"/>
      <c r="Z390" s="68"/>
      <c r="AA390" s="68"/>
      <c r="AB390" s="68"/>
      <c r="AC390" s="68"/>
    </row>
    <row r="391" spans="1:29" x14ac:dyDescent="0.3">
      <c r="A391" s="69"/>
      <c r="B391" s="68"/>
      <c r="C391" s="68"/>
      <c r="D391" s="68"/>
      <c r="E391" s="68"/>
      <c r="F391" s="68"/>
      <c r="G391" s="68"/>
      <c r="H391" s="68"/>
      <c r="I391" s="68"/>
      <c r="J391" s="68"/>
      <c r="K391" s="68"/>
      <c r="L391" s="68"/>
      <c r="M391" s="68"/>
      <c r="N391" s="68"/>
      <c r="O391" s="68"/>
      <c r="P391" s="68"/>
      <c r="Q391" s="68"/>
      <c r="R391" s="68"/>
      <c r="S391" s="68"/>
      <c r="T391" s="68"/>
      <c r="U391" s="68"/>
      <c r="V391" s="68"/>
      <c r="W391" s="68"/>
      <c r="X391" s="68"/>
      <c r="Y391" s="68"/>
      <c r="Z391" s="68"/>
      <c r="AA391" s="68"/>
      <c r="AB391" s="68"/>
      <c r="AC391" s="68"/>
    </row>
    <row r="392" spans="1:29" x14ac:dyDescent="0.3">
      <c r="A392" s="69"/>
      <c r="B392" s="68"/>
      <c r="C392" s="68"/>
      <c r="D392" s="68"/>
      <c r="E392" s="68"/>
      <c r="F392" s="68"/>
      <c r="G392" s="68"/>
      <c r="H392" s="68"/>
      <c r="I392" s="68"/>
      <c r="J392" s="68"/>
      <c r="K392" s="68"/>
      <c r="L392" s="68"/>
      <c r="M392" s="68"/>
      <c r="N392" s="68"/>
      <c r="O392" s="68"/>
      <c r="P392" s="68"/>
      <c r="Q392" s="68"/>
      <c r="R392" s="68"/>
      <c r="S392" s="68"/>
      <c r="T392" s="68"/>
      <c r="U392" s="68"/>
      <c r="V392" s="68"/>
      <c r="W392" s="68"/>
      <c r="X392" s="68"/>
      <c r="Y392" s="68"/>
      <c r="Z392" s="68"/>
      <c r="AA392" s="68"/>
      <c r="AB392" s="68"/>
      <c r="AC392" s="68"/>
    </row>
    <row r="393" spans="1:29" x14ac:dyDescent="0.3">
      <c r="A393" s="69"/>
      <c r="B393" s="68"/>
      <c r="C393" s="68"/>
      <c r="D393" s="68"/>
      <c r="E393" s="68"/>
      <c r="F393" s="68"/>
      <c r="G393" s="68"/>
      <c r="H393" s="68"/>
      <c r="I393" s="68"/>
      <c r="J393" s="68"/>
      <c r="K393" s="68"/>
      <c r="L393" s="68"/>
      <c r="M393" s="68"/>
      <c r="N393" s="68"/>
      <c r="O393" s="68"/>
      <c r="P393" s="68"/>
      <c r="Q393" s="68"/>
      <c r="R393" s="68"/>
      <c r="S393" s="68"/>
      <c r="T393" s="68"/>
      <c r="U393" s="68"/>
      <c r="V393" s="68"/>
      <c r="W393" s="68"/>
      <c r="X393" s="68"/>
      <c r="Y393" s="68"/>
      <c r="Z393" s="68"/>
      <c r="AA393" s="68"/>
      <c r="AB393" s="68"/>
      <c r="AC393" s="68"/>
    </row>
    <row r="394" spans="1:29" x14ac:dyDescent="0.3">
      <c r="A394" s="69"/>
      <c r="B394" s="68"/>
      <c r="C394" s="68"/>
      <c r="D394" s="68"/>
      <c r="E394" s="68"/>
      <c r="F394" s="68"/>
      <c r="G394" s="68"/>
      <c r="H394" s="68"/>
      <c r="I394" s="68"/>
      <c r="J394" s="68"/>
      <c r="K394" s="68"/>
      <c r="L394" s="68"/>
      <c r="M394" s="68"/>
      <c r="N394" s="68"/>
      <c r="O394" s="68"/>
      <c r="P394" s="68"/>
      <c r="Q394" s="68"/>
      <c r="R394" s="68"/>
      <c r="S394" s="68"/>
      <c r="T394" s="68"/>
      <c r="U394" s="68"/>
      <c r="V394" s="68"/>
      <c r="W394" s="68"/>
      <c r="X394" s="68"/>
      <c r="Y394" s="68"/>
      <c r="Z394" s="68"/>
      <c r="AA394" s="68"/>
      <c r="AB394" s="68"/>
      <c r="AC394" s="68"/>
    </row>
    <row r="395" spans="1:29" x14ac:dyDescent="0.3">
      <c r="A395" s="69"/>
      <c r="B395" s="68"/>
      <c r="C395" s="68"/>
      <c r="D395" s="68"/>
      <c r="E395" s="68"/>
      <c r="F395" s="68"/>
      <c r="G395" s="68"/>
      <c r="H395" s="68"/>
      <c r="I395" s="68"/>
      <c r="J395" s="68"/>
      <c r="K395" s="68"/>
      <c r="L395" s="68"/>
      <c r="M395" s="68"/>
      <c r="N395" s="68"/>
      <c r="O395" s="68"/>
      <c r="P395" s="68"/>
      <c r="Q395" s="68"/>
      <c r="R395" s="68"/>
      <c r="S395" s="68"/>
      <c r="T395" s="68"/>
      <c r="U395" s="68"/>
      <c r="V395" s="68"/>
      <c r="W395" s="68"/>
      <c r="X395" s="68"/>
      <c r="Y395" s="68"/>
      <c r="Z395" s="68"/>
      <c r="AA395" s="68"/>
      <c r="AB395" s="68"/>
      <c r="AC395" s="68"/>
    </row>
    <row r="396" spans="1:29" x14ac:dyDescent="0.3">
      <c r="A396" s="69"/>
      <c r="B396" s="68"/>
      <c r="C396" s="68"/>
      <c r="D396" s="68"/>
      <c r="E396" s="68"/>
      <c r="F396" s="68"/>
      <c r="G396" s="68"/>
      <c r="H396" s="68"/>
      <c r="I396" s="68"/>
      <c r="J396" s="68"/>
      <c r="K396" s="68"/>
      <c r="L396" s="68"/>
      <c r="M396" s="68"/>
      <c r="N396" s="68"/>
      <c r="O396" s="68"/>
      <c r="P396" s="68"/>
      <c r="Q396" s="68"/>
      <c r="R396" s="68"/>
      <c r="S396" s="68"/>
      <c r="T396" s="68"/>
      <c r="U396" s="68"/>
      <c r="V396" s="68"/>
      <c r="W396" s="68"/>
      <c r="X396" s="68"/>
      <c r="Y396" s="68"/>
      <c r="Z396" s="68"/>
      <c r="AA396" s="68"/>
      <c r="AB396" s="68"/>
      <c r="AC396" s="68"/>
    </row>
    <row r="397" spans="1:29" x14ac:dyDescent="0.3">
      <c r="A397" s="69"/>
      <c r="B397" s="68"/>
      <c r="C397" s="68"/>
      <c r="D397" s="68"/>
      <c r="E397" s="68"/>
      <c r="F397" s="68"/>
      <c r="G397" s="68"/>
      <c r="H397" s="68"/>
      <c r="I397" s="68"/>
      <c r="J397" s="68"/>
      <c r="K397" s="68"/>
      <c r="L397" s="68"/>
      <c r="M397" s="68"/>
      <c r="N397" s="68"/>
      <c r="O397" s="68"/>
      <c r="P397" s="68"/>
      <c r="Q397" s="68"/>
      <c r="R397" s="68"/>
      <c r="S397" s="68"/>
      <c r="T397" s="68"/>
      <c r="U397" s="68"/>
      <c r="V397" s="68"/>
      <c r="W397" s="68"/>
      <c r="X397" s="68"/>
      <c r="Y397" s="68"/>
      <c r="Z397" s="68"/>
      <c r="AA397" s="68"/>
      <c r="AB397" s="68"/>
      <c r="AC397" s="68"/>
    </row>
    <row r="398" spans="1:29" x14ac:dyDescent="0.3">
      <c r="A398" s="69"/>
      <c r="B398" s="68"/>
      <c r="C398" s="68"/>
      <c r="D398" s="68"/>
      <c r="E398" s="68"/>
      <c r="F398" s="68"/>
      <c r="G398" s="68"/>
      <c r="H398" s="68"/>
      <c r="I398" s="68"/>
      <c r="J398" s="68"/>
      <c r="K398" s="68"/>
      <c r="L398" s="68"/>
      <c r="M398" s="68"/>
      <c r="N398" s="68"/>
      <c r="O398" s="68"/>
      <c r="P398" s="68"/>
      <c r="Q398" s="68"/>
      <c r="R398" s="68"/>
      <c r="S398" s="68"/>
      <c r="T398" s="68"/>
      <c r="U398" s="68"/>
      <c r="V398" s="68"/>
      <c r="W398" s="68"/>
      <c r="X398" s="68"/>
      <c r="Y398" s="68"/>
      <c r="Z398" s="68"/>
      <c r="AA398" s="68"/>
      <c r="AB398" s="68"/>
      <c r="AC398" s="68"/>
    </row>
    <row r="399" spans="1:29" x14ac:dyDescent="0.3">
      <c r="A399" s="69"/>
      <c r="B399" s="68"/>
      <c r="C399" s="68"/>
      <c r="D399" s="68"/>
      <c r="E399" s="68"/>
      <c r="F399" s="68"/>
      <c r="G399" s="68"/>
      <c r="H399" s="68"/>
      <c r="I399" s="68"/>
      <c r="J399" s="68"/>
      <c r="K399" s="68"/>
      <c r="L399" s="68"/>
      <c r="M399" s="68"/>
      <c r="N399" s="68"/>
      <c r="O399" s="68"/>
      <c r="P399" s="68"/>
      <c r="Q399" s="68"/>
      <c r="R399" s="68"/>
      <c r="S399" s="68"/>
      <c r="T399" s="68"/>
      <c r="U399" s="68"/>
      <c r="V399" s="68"/>
      <c r="W399" s="68"/>
      <c r="X399" s="68"/>
      <c r="Y399" s="68"/>
      <c r="Z399" s="68"/>
      <c r="AA399" s="68"/>
      <c r="AB399" s="68"/>
      <c r="AC399" s="68"/>
    </row>
    <row r="400" spans="1:29" x14ac:dyDescent="0.3">
      <c r="A400" s="69"/>
      <c r="B400" s="68"/>
      <c r="C400" s="68"/>
      <c r="D400" s="68"/>
      <c r="E400" s="68"/>
      <c r="F400" s="68"/>
      <c r="G400" s="68"/>
      <c r="H400" s="68"/>
      <c r="I400" s="68"/>
      <c r="J400" s="68"/>
      <c r="K400" s="68"/>
      <c r="L400" s="68"/>
      <c r="M400" s="68"/>
      <c r="N400" s="68"/>
      <c r="O400" s="68"/>
      <c r="P400" s="68"/>
      <c r="Q400" s="68"/>
      <c r="R400" s="68"/>
      <c r="S400" s="68"/>
      <c r="T400" s="68"/>
      <c r="U400" s="68"/>
      <c r="V400" s="68"/>
      <c r="W400" s="68"/>
      <c r="X400" s="68"/>
      <c r="Y400" s="68"/>
      <c r="Z400" s="68"/>
      <c r="AA400" s="68"/>
      <c r="AB400" s="68"/>
      <c r="AC400" s="68"/>
    </row>
    <row r="401" spans="1:29" x14ac:dyDescent="0.3">
      <c r="A401" s="69"/>
      <c r="B401" s="68"/>
      <c r="C401" s="68"/>
      <c r="D401" s="68"/>
      <c r="E401" s="68"/>
      <c r="F401" s="68"/>
      <c r="G401" s="68"/>
      <c r="H401" s="68"/>
      <c r="I401" s="68"/>
      <c r="J401" s="68"/>
      <c r="K401" s="68"/>
      <c r="L401" s="68"/>
      <c r="M401" s="68"/>
      <c r="N401" s="68"/>
      <c r="O401" s="68"/>
      <c r="P401" s="68"/>
      <c r="Q401" s="68"/>
      <c r="R401" s="68"/>
      <c r="S401" s="68"/>
      <c r="T401" s="68"/>
      <c r="U401" s="68"/>
      <c r="V401" s="68"/>
      <c r="W401" s="68"/>
      <c r="X401" s="68"/>
      <c r="Y401" s="68"/>
      <c r="Z401" s="68"/>
      <c r="AA401" s="68"/>
      <c r="AB401" s="68"/>
      <c r="AC401" s="68"/>
    </row>
    <row r="402" spans="1:29" x14ac:dyDescent="0.3">
      <c r="A402" s="69"/>
      <c r="B402" s="68"/>
      <c r="C402" s="68"/>
      <c r="D402" s="68"/>
      <c r="E402" s="68"/>
      <c r="F402" s="68"/>
      <c r="G402" s="68"/>
      <c r="H402" s="68"/>
      <c r="I402" s="68"/>
      <c r="J402" s="68"/>
      <c r="K402" s="68"/>
      <c r="L402" s="68"/>
      <c r="M402" s="68"/>
      <c r="N402" s="68"/>
      <c r="O402" s="68"/>
      <c r="P402" s="68"/>
      <c r="Q402" s="68"/>
      <c r="R402" s="68"/>
      <c r="S402" s="68"/>
      <c r="T402" s="68"/>
      <c r="U402" s="68"/>
      <c r="V402" s="68"/>
      <c r="W402" s="68"/>
      <c r="X402" s="68"/>
      <c r="Y402" s="68"/>
      <c r="Z402" s="68"/>
      <c r="AA402" s="68"/>
      <c r="AB402" s="68"/>
      <c r="AC402" s="68"/>
    </row>
    <row r="403" spans="1:29" x14ac:dyDescent="0.3">
      <c r="A403" s="69"/>
      <c r="B403" s="68"/>
      <c r="C403" s="68"/>
      <c r="D403" s="68"/>
      <c r="E403" s="68"/>
      <c r="F403" s="68"/>
      <c r="G403" s="68"/>
      <c r="H403" s="68"/>
      <c r="I403" s="68"/>
      <c r="J403" s="68"/>
      <c r="K403" s="68"/>
      <c r="L403" s="68"/>
      <c r="M403" s="68"/>
      <c r="N403" s="68"/>
      <c r="O403" s="68"/>
      <c r="P403" s="68"/>
      <c r="Q403" s="68"/>
      <c r="R403" s="68"/>
      <c r="S403" s="68"/>
      <c r="T403" s="68"/>
      <c r="U403" s="68"/>
      <c r="V403" s="68"/>
      <c r="W403" s="68"/>
      <c r="X403" s="68"/>
      <c r="Y403" s="68"/>
      <c r="Z403" s="68"/>
      <c r="AA403" s="68"/>
      <c r="AB403" s="68"/>
      <c r="AC403" s="68"/>
    </row>
    <row r="404" spans="1:29" x14ac:dyDescent="0.3">
      <c r="A404" s="69"/>
      <c r="B404" s="68"/>
      <c r="C404" s="68"/>
      <c r="D404" s="68"/>
      <c r="E404" s="68"/>
      <c r="F404" s="68"/>
      <c r="G404" s="68"/>
      <c r="H404" s="68"/>
      <c r="I404" s="68"/>
      <c r="J404" s="68"/>
      <c r="K404" s="68"/>
      <c r="L404" s="68"/>
      <c r="M404" s="68"/>
      <c r="N404" s="68"/>
      <c r="O404" s="68"/>
      <c r="P404" s="68"/>
      <c r="Q404" s="68"/>
      <c r="R404" s="68"/>
      <c r="S404" s="68"/>
      <c r="T404" s="68"/>
      <c r="U404" s="68"/>
      <c r="V404" s="68"/>
      <c r="W404" s="68"/>
      <c r="X404" s="68"/>
      <c r="Y404" s="68"/>
      <c r="Z404" s="68"/>
      <c r="AA404" s="68"/>
      <c r="AB404" s="68"/>
      <c r="AC404" s="68"/>
    </row>
    <row r="405" spans="1:29" x14ac:dyDescent="0.3">
      <c r="A405" s="69"/>
      <c r="B405" s="68"/>
      <c r="C405" s="68"/>
      <c r="D405" s="68"/>
      <c r="E405" s="68"/>
      <c r="F405" s="68"/>
      <c r="G405" s="68"/>
      <c r="H405" s="68"/>
      <c r="I405" s="68"/>
      <c r="J405" s="68"/>
      <c r="K405" s="68"/>
      <c r="L405" s="68"/>
      <c r="M405" s="68"/>
      <c r="N405" s="68"/>
      <c r="O405" s="68"/>
      <c r="P405" s="68"/>
      <c r="Q405" s="68"/>
      <c r="R405" s="68"/>
      <c r="S405" s="68"/>
      <c r="T405" s="68"/>
      <c r="U405" s="68"/>
      <c r="V405" s="68"/>
      <c r="W405" s="68"/>
      <c r="X405" s="68"/>
      <c r="Y405" s="68"/>
      <c r="Z405" s="68"/>
      <c r="AA405" s="68"/>
      <c r="AB405" s="68"/>
      <c r="AC405" s="68"/>
    </row>
    <row r="406" spans="1:29" x14ac:dyDescent="0.3">
      <c r="A406" s="69"/>
      <c r="B406" s="68"/>
      <c r="C406" s="68"/>
      <c r="D406" s="68"/>
      <c r="E406" s="68"/>
      <c r="F406" s="68"/>
      <c r="G406" s="68"/>
      <c r="H406" s="68"/>
      <c r="I406" s="68"/>
      <c r="J406" s="68"/>
      <c r="K406" s="68"/>
      <c r="L406" s="68"/>
      <c r="M406" s="68"/>
      <c r="N406" s="68"/>
      <c r="O406" s="68"/>
      <c r="P406" s="68"/>
      <c r="Q406" s="68"/>
      <c r="R406" s="68"/>
      <c r="S406" s="68"/>
      <c r="T406" s="68"/>
      <c r="U406" s="68"/>
      <c r="V406" s="68"/>
      <c r="W406" s="68"/>
      <c r="X406" s="68"/>
      <c r="Y406" s="68"/>
      <c r="Z406" s="68"/>
      <c r="AA406" s="68"/>
      <c r="AB406" s="68"/>
      <c r="AC406" s="68"/>
    </row>
    <row r="407" spans="1:29" x14ac:dyDescent="0.3">
      <c r="A407" s="69"/>
      <c r="B407" s="68"/>
      <c r="C407" s="68"/>
      <c r="D407" s="68"/>
      <c r="E407" s="68"/>
      <c r="F407" s="68"/>
      <c r="G407" s="68"/>
      <c r="H407" s="68"/>
      <c r="I407" s="68"/>
      <c r="J407" s="68"/>
      <c r="K407" s="68"/>
      <c r="L407" s="68"/>
      <c r="M407" s="68"/>
      <c r="N407" s="68"/>
      <c r="O407" s="68"/>
      <c r="P407" s="68"/>
      <c r="Q407" s="68"/>
      <c r="R407" s="68"/>
      <c r="S407" s="68"/>
      <c r="T407" s="68"/>
      <c r="U407" s="68"/>
      <c r="V407" s="68"/>
      <c r="W407" s="68"/>
      <c r="X407" s="68"/>
      <c r="Y407" s="68"/>
      <c r="Z407" s="68"/>
      <c r="AA407" s="68"/>
      <c r="AB407" s="68"/>
      <c r="AC407" s="68"/>
    </row>
    <row r="408" spans="1:29" x14ac:dyDescent="0.3">
      <c r="A408" s="69"/>
      <c r="B408" s="68"/>
      <c r="C408" s="68"/>
      <c r="D408" s="68"/>
      <c r="E408" s="68"/>
      <c r="F408" s="68"/>
      <c r="G408" s="68"/>
      <c r="H408" s="68"/>
      <c r="I408" s="68"/>
      <c r="J408" s="68"/>
      <c r="K408" s="68"/>
      <c r="L408" s="68"/>
      <c r="M408" s="68"/>
      <c r="N408" s="68"/>
      <c r="O408" s="68"/>
      <c r="P408" s="68"/>
      <c r="Q408" s="68"/>
      <c r="R408" s="68"/>
      <c r="S408" s="68"/>
      <c r="T408" s="68"/>
      <c r="U408" s="68"/>
      <c r="V408" s="68"/>
      <c r="W408" s="68"/>
      <c r="X408" s="68"/>
      <c r="Y408" s="68"/>
      <c r="Z408" s="68"/>
      <c r="AA408" s="68"/>
      <c r="AB408" s="68"/>
      <c r="AC408" s="68"/>
    </row>
    <row r="409" spans="1:29" x14ac:dyDescent="0.3">
      <c r="A409" s="69"/>
      <c r="B409" s="68"/>
      <c r="C409" s="68"/>
      <c r="D409" s="68"/>
      <c r="E409" s="68"/>
      <c r="F409" s="68"/>
      <c r="G409" s="68"/>
      <c r="H409" s="68"/>
      <c r="I409" s="68"/>
      <c r="J409" s="68"/>
      <c r="K409" s="68"/>
      <c r="L409" s="68"/>
      <c r="M409" s="68"/>
      <c r="N409" s="68"/>
      <c r="O409" s="68"/>
      <c r="P409" s="68"/>
      <c r="Q409" s="68"/>
      <c r="R409" s="68"/>
      <c r="S409" s="68"/>
      <c r="T409" s="68"/>
      <c r="U409" s="68"/>
      <c r="V409" s="68"/>
      <c r="W409" s="68"/>
      <c r="X409" s="68"/>
      <c r="Y409" s="68"/>
      <c r="Z409" s="68"/>
      <c r="AA409" s="68"/>
      <c r="AB409" s="68"/>
      <c r="AC409" s="68"/>
    </row>
    <row r="410" spans="1:29" x14ac:dyDescent="0.3">
      <c r="A410" s="69"/>
      <c r="B410" s="68"/>
      <c r="C410" s="68"/>
      <c r="D410" s="68"/>
      <c r="E410" s="68"/>
      <c r="F410" s="68"/>
      <c r="G410" s="68"/>
      <c r="H410" s="68"/>
      <c r="I410" s="68"/>
      <c r="J410" s="68"/>
      <c r="K410" s="68"/>
      <c r="L410" s="68"/>
      <c r="M410" s="68"/>
      <c r="N410" s="68"/>
      <c r="O410" s="68"/>
      <c r="P410" s="68"/>
      <c r="Q410" s="68"/>
      <c r="R410" s="68"/>
      <c r="S410" s="68"/>
      <c r="T410" s="68"/>
      <c r="U410" s="68"/>
      <c r="V410" s="68"/>
      <c r="W410" s="68"/>
      <c r="X410" s="68"/>
      <c r="Y410" s="68"/>
      <c r="Z410" s="68"/>
      <c r="AA410" s="68"/>
      <c r="AB410" s="68"/>
      <c r="AC410" s="68"/>
    </row>
    <row r="411" spans="1:29" x14ac:dyDescent="0.3">
      <c r="A411" s="69"/>
      <c r="B411" s="68"/>
      <c r="C411" s="68"/>
      <c r="D411" s="68"/>
      <c r="E411" s="68"/>
      <c r="F411" s="68"/>
      <c r="G411" s="68"/>
      <c r="H411" s="68"/>
      <c r="I411" s="68"/>
      <c r="J411" s="68"/>
      <c r="K411" s="68"/>
      <c r="L411" s="68"/>
      <c r="M411" s="68"/>
      <c r="N411" s="68"/>
      <c r="O411" s="68"/>
      <c r="P411" s="68"/>
      <c r="Q411" s="68"/>
      <c r="R411" s="68"/>
      <c r="S411" s="68"/>
      <c r="T411" s="68"/>
      <c r="U411" s="68"/>
      <c r="V411" s="68"/>
      <c r="W411" s="68"/>
      <c r="X411" s="68"/>
      <c r="Y411" s="68"/>
      <c r="Z411" s="68"/>
      <c r="AA411" s="68"/>
      <c r="AB411" s="68"/>
      <c r="AC411" s="68"/>
    </row>
    <row r="412" spans="1:29" x14ac:dyDescent="0.3">
      <c r="A412" s="69"/>
      <c r="B412" s="68"/>
      <c r="C412" s="68"/>
      <c r="D412" s="68"/>
      <c r="E412" s="68"/>
      <c r="F412" s="68"/>
      <c r="G412" s="68"/>
      <c r="H412" s="68"/>
      <c r="I412" s="68"/>
      <c r="J412" s="68"/>
      <c r="K412" s="68"/>
      <c r="L412" s="68"/>
      <c r="M412" s="68"/>
      <c r="N412" s="68"/>
      <c r="O412" s="68"/>
      <c r="P412" s="68"/>
      <c r="Q412" s="68"/>
      <c r="R412" s="68"/>
      <c r="S412" s="68"/>
      <c r="T412" s="68"/>
      <c r="U412" s="68"/>
      <c r="V412" s="68"/>
      <c r="W412" s="68"/>
      <c r="X412" s="68"/>
      <c r="Y412" s="68"/>
      <c r="Z412" s="68"/>
      <c r="AA412" s="68"/>
      <c r="AB412" s="68"/>
      <c r="AC412" s="68"/>
    </row>
    <row r="413" spans="1:29" x14ac:dyDescent="0.3">
      <c r="A413" s="69"/>
      <c r="B413" s="68"/>
      <c r="C413" s="68"/>
      <c r="D413" s="68"/>
      <c r="E413" s="68"/>
      <c r="F413" s="68"/>
      <c r="G413" s="68"/>
      <c r="H413" s="68"/>
      <c r="I413" s="68"/>
      <c r="J413" s="68"/>
      <c r="K413" s="68"/>
      <c r="L413" s="68"/>
      <c r="M413" s="68"/>
      <c r="N413" s="68"/>
      <c r="O413" s="68"/>
      <c r="P413" s="68"/>
      <c r="Q413" s="68"/>
      <c r="R413" s="68"/>
      <c r="S413" s="68"/>
      <c r="T413" s="68"/>
      <c r="U413" s="68"/>
      <c r="V413" s="68"/>
      <c r="W413" s="68"/>
      <c r="X413" s="68"/>
      <c r="Y413" s="68"/>
      <c r="Z413" s="68"/>
      <c r="AA413" s="68"/>
      <c r="AB413" s="68"/>
      <c r="AC413" s="68"/>
    </row>
    <row r="414" spans="1:29" x14ac:dyDescent="0.3">
      <c r="A414" s="69"/>
      <c r="B414" s="68"/>
      <c r="C414" s="68"/>
      <c r="D414" s="68"/>
      <c r="E414" s="68"/>
      <c r="F414" s="68"/>
      <c r="G414" s="68"/>
      <c r="H414" s="68"/>
      <c r="I414" s="68"/>
      <c r="J414" s="68"/>
      <c r="K414" s="68"/>
      <c r="L414" s="68"/>
      <c r="M414" s="68"/>
      <c r="N414" s="68"/>
      <c r="O414" s="68"/>
      <c r="P414" s="68"/>
      <c r="Q414" s="68"/>
      <c r="R414" s="68"/>
      <c r="S414" s="68"/>
      <c r="T414" s="68"/>
      <c r="U414" s="68"/>
      <c r="V414" s="68"/>
      <c r="W414" s="68"/>
      <c r="X414" s="68"/>
      <c r="Y414" s="68"/>
      <c r="Z414" s="68"/>
      <c r="AA414" s="68"/>
      <c r="AB414" s="68"/>
      <c r="AC414" s="68"/>
    </row>
    <row r="415" spans="1:29" x14ac:dyDescent="0.3">
      <c r="A415" s="69"/>
      <c r="B415" s="68"/>
      <c r="C415" s="68"/>
      <c r="D415" s="68"/>
      <c r="E415" s="68"/>
      <c r="F415" s="68"/>
      <c r="G415" s="68"/>
      <c r="H415" s="68"/>
      <c r="I415" s="68"/>
      <c r="J415" s="68"/>
      <c r="K415" s="68"/>
      <c r="L415" s="68"/>
      <c r="M415" s="68"/>
      <c r="N415" s="68"/>
      <c r="O415" s="68"/>
      <c r="P415" s="68"/>
      <c r="Q415" s="68"/>
      <c r="R415" s="68"/>
      <c r="S415" s="68"/>
      <c r="T415" s="68"/>
      <c r="U415" s="68"/>
      <c r="V415" s="68"/>
      <c r="W415" s="68"/>
      <c r="X415" s="68"/>
      <c r="Y415" s="68"/>
      <c r="Z415" s="68"/>
      <c r="AA415" s="68"/>
      <c r="AB415" s="68"/>
      <c r="AC415" s="68"/>
    </row>
    <row r="416" spans="1:29" x14ac:dyDescent="0.3">
      <c r="A416" s="69"/>
      <c r="B416" s="68"/>
      <c r="C416" s="68"/>
      <c r="D416" s="68"/>
      <c r="E416" s="68"/>
      <c r="F416" s="68"/>
      <c r="G416" s="68"/>
      <c r="H416" s="68"/>
      <c r="I416" s="68"/>
      <c r="J416" s="68"/>
      <c r="K416" s="68"/>
      <c r="L416" s="68"/>
      <c r="M416" s="68"/>
      <c r="N416" s="68"/>
      <c r="O416" s="68"/>
      <c r="P416" s="68"/>
      <c r="Q416" s="68"/>
      <c r="R416" s="68"/>
      <c r="S416" s="68"/>
      <c r="T416" s="68"/>
      <c r="U416" s="68"/>
      <c r="V416" s="68"/>
      <c r="W416" s="68"/>
      <c r="X416" s="68"/>
      <c r="Y416" s="68"/>
      <c r="Z416" s="68"/>
      <c r="AA416" s="68"/>
      <c r="AB416" s="68"/>
      <c r="AC416" s="68"/>
    </row>
    <row r="417" spans="1:29" x14ac:dyDescent="0.3">
      <c r="A417" s="69"/>
      <c r="B417" s="68"/>
      <c r="C417" s="68"/>
      <c r="D417" s="68"/>
      <c r="E417" s="68"/>
      <c r="F417" s="68"/>
      <c r="G417" s="68"/>
      <c r="H417" s="68"/>
      <c r="I417" s="68"/>
      <c r="J417" s="68"/>
      <c r="K417" s="68"/>
      <c r="L417" s="68"/>
      <c r="M417" s="68"/>
      <c r="N417" s="68"/>
      <c r="O417" s="68"/>
      <c r="P417" s="68"/>
      <c r="Q417" s="68"/>
      <c r="R417" s="68"/>
      <c r="S417" s="68"/>
      <c r="T417" s="68"/>
      <c r="U417" s="68"/>
      <c r="V417" s="68"/>
      <c r="W417" s="68"/>
      <c r="X417" s="68"/>
      <c r="Y417" s="68"/>
      <c r="Z417" s="68"/>
      <c r="AA417" s="68"/>
      <c r="AB417" s="68"/>
      <c r="AC417" s="68"/>
    </row>
    <row r="418" spans="1:29" x14ac:dyDescent="0.3">
      <c r="A418" s="69"/>
      <c r="B418" s="68"/>
      <c r="C418" s="68"/>
      <c r="D418" s="68"/>
      <c r="E418" s="68"/>
      <c r="F418" s="68"/>
      <c r="G418" s="68"/>
      <c r="H418" s="68"/>
      <c r="I418" s="68"/>
      <c r="J418" s="68"/>
      <c r="K418" s="68"/>
      <c r="L418" s="68"/>
      <c r="M418" s="68"/>
      <c r="N418" s="68"/>
      <c r="O418" s="68"/>
      <c r="P418" s="68"/>
      <c r="Q418" s="68"/>
      <c r="R418" s="68"/>
      <c r="S418" s="68"/>
      <c r="T418" s="68"/>
      <c r="U418" s="68"/>
      <c r="V418" s="68"/>
      <c r="W418" s="68"/>
      <c r="X418" s="68"/>
      <c r="Y418" s="68"/>
      <c r="Z418" s="68"/>
      <c r="AA418" s="68"/>
      <c r="AB418" s="68"/>
      <c r="AC418" s="68"/>
    </row>
    <row r="419" spans="1:29" x14ac:dyDescent="0.3">
      <c r="A419" s="69"/>
      <c r="B419" s="68"/>
      <c r="C419" s="68"/>
      <c r="D419" s="68"/>
      <c r="E419" s="68"/>
      <c r="F419" s="68"/>
      <c r="G419" s="68"/>
      <c r="H419" s="68"/>
      <c r="I419" s="68"/>
      <c r="J419" s="68"/>
      <c r="K419" s="68"/>
      <c r="L419" s="68"/>
      <c r="M419" s="68"/>
      <c r="N419" s="68"/>
      <c r="O419" s="68"/>
      <c r="P419" s="68"/>
      <c r="Q419" s="68"/>
      <c r="R419" s="68"/>
      <c r="S419" s="68"/>
      <c r="T419" s="68"/>
      <c r="U419" s="68"/>
      <c r="V419" s="68"/>
      <c r="W419" s="68"/>
      <c r="X419" s="68"/>
      <c r="Y419" s="68"/>
      <c r="Z419" s="68"/>
      <c r="AA419" s="68"/>
      <c r="AB419" s="68"/>
      <c r="AC419" s="68"/>
    </row>
    <row r="420" spans="1:29" x14ac:dyDescent="0.3">
      <c r="A420" s="69"/>
      <c r="B420" s="68"/>
      <c r="C420" s="68"/>
      <c r="D420" s="68"/>
      <c r="E420" s="68"/>
      <c r="F420" s="68"/>
      <c r="G420" s="68"/>
      <c r="H420" s="68"/>
      <c r="I420" s="68"/>
      <c r="J420" s="68"/>
      <c r="K420" s="68"/>
      <c r="L420" s="68"/>
      <c r="M420" s="68"/>
      <c r="N420" s="68"/>
      <c r="O420" s="68"/>
      <c r="P420" s="68"/>
      <c r="Q420" s="68"/>
      <c r="R420" s="68"/>
      <c r="S420" s="68"/>
      <c r="T420" s="68"/>
      <c r="U420" s="68"/>
      <c r="V420" s="68"/>
      <c r="W420" s="68"/>
      <c r="X420" s="68"/>
      <c r="Y420" s="68"/>
      <c r="Z420" s="68"/>
      <c r="AA420" s="68"/>
      <c r="AB420" s="68"/>
      <c r="AC420" s="68"/>
    </row>
    <row r="421" spans="1:29" x14ac:dyDescent="0.3">
      <c r="A421" s="69"/>
      <c r="B421" s="68"/>
      <c r="C421" s="68"/>
      <c r="D421" s="68"/>
      <c r="E421" s="68"/>
      <c r="F421" s="68"/>
      <c r="G421" s="68"/>
      <c r="H421" s="68"/>
      <c r="I421" s="68"/>
      <c r="J421" s="68"/>
      <c r="K421" s="68"/>
      <c r="L421" s="68"/>
      <c r="M421" s="68"/>
      <c r="N421" s="68"/>
      <c r="O421" s="68"/>
      <c r="P421" s="68"/>
      <c r="Q421" s="68"/>
      <c r="R421" s="68"/>
      <c r="S421" s="68"/>
      <c r="T421" s="68"/>
      <c r="U421" s="68"/>
      <c r="V421" s="68"/>
      <c r="W421" s="68"/>
      <c r="X421" s="68"/>
      <c r="Y421" s="68"/>
      <c r="Z421" s="68"/>
      <c r="AA421" s="68"/>
      <c r="AB421" s="68"/>
      <c r="AC421" s="68"/>
    </row>
    <row r="422" spans="1:29" x14ac:dyDescent="0.3">
      <c r="A422" s="69"/>
      <c r="B422" s="68"/>
      <c r="C422" s="68"/>
      <c r="D422" s="68"/>
      <c r="E422" s="68"/>
      <c r="F422" s="68"/>
      <c r="G422" s="68"/>
      <c r="H422" s="68"/>
      <c r="I422" s="68"/>
      <c r="J422" s="68"/>
      <c r="K422" s="68"/>
      <c r="L422" s="68"/>
      <c r="M422" s="68"/>
      <c r="N422" s="68"/>
      <c r="O422" s="68"/>
      <c r="P422" s="68"/>
      <c r="Q422" s="68"/>
      <c r="R422" s="68"/>
      <c r="S422" s="68"/>
      <c r="T422" s="68"/>
      <c r="U422" s="68"/>
      <c r="V422" s="68"/>
      <c r="W422" s="68"/>
      <c r="X422" s="68"/>
      <c r="Y422" s="68"/>
      <c r="Z422" s="68"/>
      <c r="AA422" s="68"/>
      <c r="AB422" s="68"/>
      <c r="AC422" s="68"/>
    </row>
    <row r="423" spans="1:29" x14ac:dyDescent="0.3">
      <c r="A423" s="69"/>
      <c r="B423" s="68"/>
      <c r="C423" s="68"/>
      <c r="D423" s="68"/>
      <c r="E423" s="68"/>
      <c r="F423" s="68"/>
      <c r="G423" s="68"/>
      <c r="H423" s="68"/>
      <c r="I423" s="68"/>
      <c r="J423" s="68"/>
      <c r="K423" s="68"/>
      <c r="L423" s="68"/>
      <c r="M423" s="68"/>
      <c r="N423" s="68"/>
      <c r="O423" s="68"/>
      <c r="P423" s="68"/>
      <c r="Q423" s="68"/>
      <c r="R423" s="68"/>
      <c r="S423" s="68"/>
      <c r="T423" s="68"/>
      <c r="U423" s="68"/>
      <c r="V423" s="68"/>
      <c r="W423" s="68"/>
      <c r="X423" s="68"/>
      <c r="Y423" s="68"/>
      <c r="Z423" s="68"/>
      <c r="AA423" s="68"/>
      <c r="AB423" s="68"/>
      <c r="AC423" s="68"/>
    </row>
    <row r="424" spans="1:29" x14ac:dyDescent="0.3">
      <c r="A424" s="69"/>
      <c r="B424" s="68"/>
      <c r="C424" s="68"/>
      <c r="D424" s="68"/>
      <c r="E424" s="68"/>
      <c r="F424" s="68"/>
      <c r="G424" s="68"/>
      <c r="H424" s="68"/>
      <c r="I424" s="68"/>
      <c r="J424" s="68"/>
      <c r="K424" s="68"/>
      <c r="L424" s="68"/>
      <c r="M424" s="68"/>
      <c r="N424" s="68"/>
      <c r="O424" s="68"/>
      <c r="P424" s="68"/>
      <c r="Q424" s="68"/>
      <c r="R424" s="68"/>
      <c r="S424" s="68"/>
      <c r="T424" s="68"/>
      <c r="U424" s="68"/>
      <c r="V424" s="68"/>
      <c r="W424" s="68"/>
      <c r="X424" s="68"/>
      <c r="Y424" s="68"/>
      <c r="Z424" s="68"/>
      <c r="AA424" s="68"/>
      <c r="AB424" s="68"/>
      <c r="AC424" s="68"/>
    </row>
    <row r="425" spans="1:29" x14ac:dyDescent="0.3">
      <c r="A425" s="69"/>
      <c r="B425" s="68"/>
      <c r="C425" s="68"/>
      <c r="D425" s="68"/>
      <c r="E425" s="68"/>
      <c r="F425" s="68"/>
      <c r="G425" s="68"/>
      <c r="H425" s="68"/>
      <c r="I425" s="68"/>
      <c r="J425" s="68"/>
      <c r="K425" s="68"/>
      <c r="L425" s="68"/>
      <c r="M425" s="68"/>
      <c r="N425" s="68"/>
      <c r="O425" s="68"/>
      <c r="P425" s="68"/>
      <c r="Q425" s="68"/>
      <c r="R425" s="68"/>
      <c r="S425" s="68"/>
      <c r="T425" s="68"/>
      <c r="U425" s="68"/>
      <c r="V425" s="68"/>
      <c r="W425" s="68"/>
      <c r="X425" s="68"/>
      <c r="Y425" s="68"/>
      <c r="Z425" s="68"/>
      <c r="AA425" s="68"/>
      <c r="AB425" s="68"/>
      <c r="AC425" s="68"/>
    </row>
    <row r="426" spans="1:29" x14ac:dyDescent="0.3">
      <c r="A426" s="69"/>
      <c r="B426" s="68"/>
      <c r="C426" s="68"/>
      <c r="D426" s="68"/>
      <c r="E426" s="68"/>
      <c r="F426" s="68"/>
      <c r="G426" s="68"/>
      <c r="H426" s="68"/>
      <c r="I426" s="68"/>
      <c r="J426" s="68"/>
      <c r="K426" s="68"/>
      <c r="L426" s="68"/>
      <c r="M426" s="68"/>
      <c r="N426" s="68"/>
      <c r="O426" s="68"/>
      <c r="P426" s="68"/>
      <c r="Q426" s="68"/>
      <c r="R426" s="68"/>
      <c r="S426" s="68"/>
      <c r="T426" s="68"/>
      <c r="U426" s="68"/>
      <c r="V426" s="68"/>
      <c r="W426" s="68"/>
      <c r="X426" s="68"/>
      <c r="Y426" s="68"/>
      <c r="Z426" s="68"/>
      <c r="AA426" s="68"/>
      <c r="AB426" s="68"/>
      <c r="AC426" s="68"/>
    </row>
    <row r="427" spans="1:29" x14ac:dyDescent="0.3">
      <c r="A427" s="69"/>
      <c r="B427" s="68"/>
      <c r="C427" s="68"/>
      <c r="D427" s="68"/>
      <c r="E427" s="68"/>
      <c r="F427" s="68"/>
      <c r="G427" s="68"/>
      <c r="H427" s="68"/>
      <c r="I427" s="68"/>
      <c r="J427" s="68"/>
      <c r="K427" s="68"/>
      <c r="L427" s="68"/>
      <c r="M427" s="68"/>
      <c r="N427" s="68"/>
      <c r="O427" s="68"/>
      <c r="P427" s="68"/>
      <c r="Q427" s="68"/>
      <c r="R427" s="68"/>
      <c r="S427" s="68"/>
      <c r="T427" s="68"/>
      <c r="U427" s="68"/>
      <c r="V427" s="68"/>
      <c r="W427" s="68"/>
      <c r="X427" s="68"/>
      <c r="Y427" s="68"/>
      <c r="Z427" s="68"/>
      <c r="AA427" s="68"/>
      <c r="AB427" s="68"/>
      <c r="AC427" s="68"/>
    </row>
    <row r="428" spans="1:29" x14ac:dyDescent="0.3">
      <c r="A428" s="69"/>
      <c r="B428" s="68"/>
      <c r="C428" s="68"/>
      <c r="D428" s="68"/>
      <c r="E428" s="68"/>
      <c r="F428" s="68"/>
      <c r="G428" s="68"/>
      <c r="H428" s="68"/>
      <c r="I428" s="68"/>
      <c r="J428" s="68"/>
      <c r="K428" s="68"/>
      <c r="L428" s="68"/>
      <c r="M428" s="68"/>
      <c r="N428" s="68"/>
      <c r="O428" s="68"/>
      <c r="P428" s="68"/>
      <c r="Q428" s="68"/>
      <c r="R428" s="68"/>
      <c r="S428" s="68"/>
      <c r="T428" s="68"/>
      <c r="U428" s="68"/>
      <c r="V428" s="68"/>
      <c r="W428" s="68"/>
      <c r="X428" s="68"/>
      <c r="Y428" s="68"/>
      <c r="Z428" s="68"/>
      <c r="AA428" s="68"/>
      <c r="AB428" s="68"/>
      <c r="AC428" s="68"/>
    </row>
    <row r="429" spans="1:29" x14ac:dyDescent="0.3">
      <c r="A429" s="69"/>
      <c r="B429" s="68"/>
      <c r="C429" s="68"/>
      <c r="D429" s="68"/>
      <c r="E429" s="68"/>
      <c r="F429" s="68"/>
      <c r="G429" s="68"/>
      <c r="H429" s="68"/>
      <c r="I429" s="68"/>
      <c r="J429" s="68"/>
      <c r="K429" s="68"/>
      <c r="L429" s="68"/>
      <c r="M429" s="68"/>
      <c r="N429" s="68"/>
      <c r="O429" s="68"/>
      <c r="P429" s="68"/>
      <c r="Q429" s="68"/>
      <c r="R429" s="68"/>
      <c r="S429" s="68"/>
      <c r="T429" s="68"/>
      <c r="U429" s="68"/>
      <c r="V429" s="68"/>
      <c r="W429" s="68"/>
      <c r="X429" s="68"/>
      <c r="Y429" s="68"/>
      <c r="Z429" s="68"/>
      <c r="AA429" s="68"/>
      <c r="AB429" s="68"/>
      <c r="AC429" s="68"/>
    </row>
    <row r="430" spans="1:29" x14ac:dyDescent="0.3">
      <c r="A430" s="69"/>
      <c r="B430" s="68"/>
      <c r="C430" s="68"/>
      <c r="D430" s="68"/>
      <c r="E430" s="68"/>
      <c r="F430" s="68"/>
      <c r="G430" s="68"/>
      <c r="H430" s="68"/>
      <c r="I430" s="68"/>
      <c r="J430" s="68"/>
      <c r="K430" s="68"/>
      <c r="L430" s="68"/>
      <c r="M430" s="68"/>
      <c r="N430" s="68"/>
      <c r="O430" s="68"/>
      <c r="P430" s="68"/>
      <c r="Q430" s="68"/>
      <c r="R430" s="68"/>
      <c r="S430" s="68"/>
      <c r="T430" s="68"/>
      <c r="U430" s="68"/>
      <c r="V430" s="68"/>
      <c r="W430" s="68"/>
      <c r="X430" s="68"/>
      <c r="Y430" s="68"/>
      <c r="Z430" s="68"/>
      <c r="AA430" s="68"/>
      <c r="AB430" s="68"/>
      <c r="AC430" s="68"/>
    </row>
    <row r="431" spans="1:29" x14ac:dyDescent="0.3">
      <c r="A431" s="69"/>
      <c r="B431" s="68"/>
      <c r="C431" s="68"/>
      <c r="D431" s="68"/>
      <c r="E431" s="68"/>
      <c r="F431" s="68"/>
      <c r="G431" s="68"/>
      <c r="H431" s="68"/>
      <c r="I431" s="68"/>
      <c r="J431" s="68"/>
      <c r="K431" s="68"/>
      <c r="L431" s="68"/>
      <c r="M431" s="68"/>
      <c r="N431" s="68"/>
      <c r="O431" s="68"/>
      <c r="P431" s="68"/>
      <c r="Q431" s="68"/>
      <c r="R431" s="68"/>
      <c r="S431" s="68"/>
      <c r="T431" s="68"/>
      <c r="U431" s="68"/>
      <c r="V431" s="68"/>
      <c r="W431" s="68"/>
      <c r="X431" s="68"/>
      <c r="Y431" s="68"/>
      <c r="Z431" s="68"/>
      <c r="AA431" s="68"/>
      <c r="AB431" s="68"/>
      <c r="AC431" s="68"/>
    </row>
    <row r="432" spans="1:29" x14ac:dyDescent="0.3">
      <c r="A432" s="69"/>
      <c r="B432" s="68"/>
      <c r="C432" s="68"/>
      <c r="D432" s="68"/>
      <c r="E432" s="68"/>
      <c r="F432" s="68"/>
      <c r="G432" s="68"/>
      <c r="H432" s="68"/>
      <c r="I432" s="68"/>
      <c r="J432" s="68"/>
      <c r="K432" s="68"/>
      <c r="L432" s="68"/>
      <c r="M432" s="68"/>
      <c r="N432" s="68"/>
      <c r="O432" s="68"/>
      <c r="P432" s="68"/>
      <c r="Q432" s="68"/>
      <c r="R432" s="68"/>
      <c r="S432" s="68"/>
      <c r="T432" s="68"/>
      <c r="U432" s="68"/>
      <c r="V432" s="68"/>
      <c r="W432" s="68"/>
      <c r="X432" s="68"/>
      <c r="Y432" s="68"/>
      <c r="Z432" s="68"/>
      <c r="AA432" s="68"/>
      <c r="AB432" s="68"/>
      <c r="AC432" s="68"/>
    </row>
    <row r="433" spans="1:29" x14ac:dyDescent="0.3">
      <c r="A433" s="69"/>
      <c r="B433" s="68"/>
      <c r="C433" s="68"/>
      <c r="D433" s="68"/>
      <c r="E433" s="68"/>
      <c r="F433" s="68"/>
      <c r="G433" s="68"/>
      <c r="H433" s="68"/>
      <c r="I433" s="68"/>
      <c r="J433" s="68"/>
      <c r="K433" s="68"/>
      <c r="L433" s="68"/>
      <c r="M433" s="68"/>
      <c r="N433" s="68"/>
      <c r="O433" s="68"/>
      <c r="P433" s="68"/>
      <c r="Q433" s="68"/>
      <c r="R433" s="68"/>
      <c r="S433" s="68"/>
      <c r="T433" s="68"/>
      <c r="U433" s="68"/>
      <c r="V433" s="68"/>
      <c r="W433" s="68"/>
      <c r="X433" s="68"/>
      <c r="Y433" s="68"/>
      <c r="Z433" s="68"/>
      <c r="AA433" s="68"/>
      <c r="AB433" s="68"/>
      <c r="AC433" s="68"/>
    </row>
    <row r="434" spans="1:29" x14ac:dyDescent="0.3">
      <c r="A434" s="69"/>
      <c r="B434" s="68"/>
      <c r="C434" s="68"/>
      <c r="D434" s="68"/>
      <c r="E434" s="68"/>
      <c r="F434" s="68"/>
      <c r="G434" s="68"/>
      <c r="H434" s="68"/>
      <c r="I434" s="68"/>
      <c r="J434" s="68"/>
      <c r="K434" s="68"/>
      <c r="L434" s="68"/>
      <c r="M434" s="68"/>
      <c r="N434" s="68"/>
      <c r="O434" s="68"/>
      <c r="P434" s="68"/>
      <c r="Q434" s="68"/>
      <c r="R434" s="68"/>
      <c r="S434" s="68"/>
      <c r="T434" s="68"/>
      <c r="U434" s="68"/>
      <c r="V434" s="68"/>
      <c r="W434" s="68"/>
      <c r="X434" s="68"/>
      <c r="Y434" s="68"/>
      <c r="Z434" s="68"/>
      <c r="AA434" s="68"/>
      <c r="AB434" s="68"/>
      <c r="AC434" s="68"/>
    </row>
    <row r="435" spans="1:29" x14ac:dyDescent="0.3">
      <c r="A435" s="69"/>
      <c r="B435" s="68"/>
      <c r="C435" s="68"/>
      <c r="D435" s="68"/>
      <c r="E435" s="68"/>
      <c r="F435" s="68"/>
      <c r="G435" s="68"/>
      <c r="H435" s="68"/>
      <c r="I435" s="68"/>
      <c r="J435" s="68"/>
      <c r="K435" s="68"/>
      <c r="L435" s="68"/>
      <c r="M435" s="68"/>
      <c r="N435" s="68"/>
      <c r="O435" s="68"/>
      <c r="P435" s="68"/>
      <c r="Q435" s="68"/>
      <c r="R435" s="68"/>
      <c r="S435" s="68"/>
      <c r="T435" s="68"/>
      <c r="U435" s="68"/>
      <c r="V435" s="68"/>
      <c r="W435" s="68"/>
      <c r="X435" s="68"/>
      <c r="Y435" s="68"/>
      <c r="Z435" s="68"/>
      <c r="AA435" s="68"/>
      <c r="AB435" s="68"/>
      <c r="AC435" s="68"/>
    </row>
    <row r="436" spans="1:29" x14ac:dyDescent="0.3">
      <c r="A436" s="69"/>
      <c r="B436" s="68"/>
      <c r="C436" s="68"/>
      <c r="D436" s="68"/>
      <c r="E436" s="68"/>
      <c r="F436" s="68"/>
      <c r="G436" s="68"/>
      <c r="H436" s="68"/>
      <c r="I436" s="68"/>
      <c r="J436" s="68"/>
      <c r="K436" s="68"/>
      <c r="L436" s="68"/>
      <c r="M436" s="68"/>
      <c r="N436" s="68"/>
      <c r="O436" s="68"/>
      <c r="P436" s="68"/>
      <c r="Q436" s="68"/>
      <c r="R436" s="68"/>
      <c r="S436" s="68"/>
      <c r="T436" s="68"/>
      <c r="U436" s="68"/>
      <c r="V436" s="68"/>
      <c r="W436" s="68"/>
      <c r="X436" s="68"/>
      <c r="Y436" s="68"/>
      <c r="Z436" s="68"/>
      <c r="AA436" s="68"/>
      <c r="AB436" s="68"/>
      <c r="AC436" s="68"/>
    </row>
    <row r="437" spans="1:29" x14ac:dyDescent="0.3">
      <c r="A437" s="69"/>
      <c r="B437" s="68"/>
      <c r="C437" s="68"/>
      <c r="D437" s="68"/>
      <c r="E437" s="68"/>
      <c r="F437" s="68"/>
      <c r="G437" s="68"/>
      <c r="H437" s="68"/>
      <c r="I437" s="68"/>
      <c r="J437" s="68"/>
      <c r="K437" s="68"/>
      <c r="L437" s="68"/>
      <c r="M437" s="68"/>
      <c r="N437" s="68"/>
      <c r="O437" s="68"/>
      <c r="P437" s="68"/>
      <c r="Q437" s="68"/>
      <c r="R437" s="68"/>
      <c r="S437" s="68"/>
      <c r="T437" s="68"/>
      <c r="U437" s="68"/>
      <c r="V437" s="68"/>
      <c r="W437" s="68"/>
      <c r="X437" s="68"/>
      <c r="Y437" s="68"/>
      <c r="Z437" s="68"/>
      <c r="AA437" s="68"/>
      <c r="AB437" s="68"/>
      <c r="AC437" s="68"/>
    </row>
    <row r="438" spans="1:29" x14ac:dyDescent="0.3">
      <c r="A438" s="69"/>
      <c r="B438" s="68"/>
      <c r="C438" s="68"/>
      <c r="D438" s="68"/>
      <c r="E438" s="68"/>
      <c r="F438" s="68"/>
      <c r="G438" s="68"/>
      <c r="H438" s="68"/>
      <c r="I438" s="68"/>
      <c r="J438" s="68"/>
      <c r="K438" s="68"/>
      <c r="L438" s="68"/>
      <c r="M438" s="68"/>
      <c r="N438" s="68"/>
      <c r="O438" s="68"/>
      <c r="P438" s="68"/>
      <c r="Q438" s="68"/>
      <c r="R438" s="68"/>
      <c r="S438" s="68"/>
      <c r="T438" s="68"/>
      <c r="U438" s="68"/>
      <c r="V438" s="68"/>
      <c r="W438" s="68"/>
      <c r="X438" s="68"/>
      <c r="Y438" s="68"/>
      <c r="Z438" s="68"/>
      <c r="AA438" s="68"/>
      <c r="AB438" s="68"/>
      <c r="AC438" s="68"/>
    </row>
    <row r="439" spans="1:29" x14ac:dyDescent="0.3">
      <c r="A439" s="69"/>
      <c r="B439" s="68"/>
      <c r="C439" s="68"/>
      <c r="D439" s="68"/>
      <c r="E439" s="68"/>
      <c r="F439" s="68"/>
      <c r="G439" s="68"/>
      <c r="H439" s="68"/>
      <c r="I439" s="68"/>
      <c r="J439" s="68"/>
      <c r="K439" s="68"/>
      <c r="L439" s="68"/>
      <c r="M439" s="68"/>
      <c r="N439" s="68"/>
      <c r="O439" s="68"/>
      <c r="P439" s="68"/>
      <c r="Q439" s="68"/>
      <c r="R439" s="68"/>
      <c r="S439" s="68"/>
      <c r="T439" s="68"/>
      <c r="U439" s="68"/>
      <c r="V439" s="68"/>
      <c r="W439" s="68"/>
      <c r="X439" s="68"/>
      <c r="Y439" s="68"/>
      <c r="Z439" s="68"/>
      <c r="AA439" s="68"/>
      <c r="AB439" s="68"/>
      <c r="AC439" s="68"/>
    </row>
    <row r="440" spans="1:29" x14ac:dyDescent="0.3">
      <c r="A440" s="69"/>
      <c r="B440" s="68"/>
      <c r="C440" s="68"/>
      <c r="D440" s="68"/>
      <c r="E440" s="68"/>
      <c r="F440" s="68"/>
      <c r="G440" s="68"/>
      <c r="H440" s="68"/>
      <c r="I440" s="68"/>
      <c r="J440" s="68"/>
      <c r="K440" s="68"/>
      <c r="L440" s="68"/>
      <c r="M440" s="68"/>
      <c r="N440" s="68"/>
      <c r="O440" s="68"/>
      <c r="P440" s="68"/>
      <c r="Q440" s="68"/>
      <c r="R440" s="68"/>
      <c r="S440" s="68"/>
      <c r="T440" s="68"/>
      <c r="U440" s="68"/>
      <c r="V440" s="68"/>
      <c r="W440" s="68"/>
      <c r="X440" s="68"/>
      <c r="Y440" s="68"/>
      <c r="Z440" s="68"/>
      <c r="AA440" s="68"/>
      <c r="AB440" s="68"/>
      <c r="AC440" s="68"/>
    </row>
    <row r="441" spans="1:29" x14ac:dyDescent="0.3">
      <c r="A441" s="69"/>
      <c r="B441" s="68"/>
      <c r="C441" s="68"/>
      <c r="D441" s="68"/>
      <c r="E441" s="68"/>
      <c r="F441" s="68"/>
      <c r="G441" s="68"/>
      <c r="H441" s="68"/>
      <c r="I441" s="68"/>
      <c r="J441" s="68"/>
      <c r="K441" s="68"/>
      <c r="L441" s="68"/>
      <c r="M441" s="68"/>
      <c r="N441" s="68"/>
      <c r="O441" s="68"/>
      <c r="P441" s="68"/>
      <c r="Q441" s="68"/>
      <c r="R441" s="68"/>
      <c r="S441" s="68"/>
      <c r="T441" s="68"/>
      <c r="U441" s="68"/>
      <c r="V441" s="68"/>
      <c r="W441" s="68"/>
      <c r="X441" s="68"/>
      <c r="Y441" s="68"/>
      <c r="Z441" s="68"/>
      <c r="AA441" s="68"/>
      <c r="AB441" s="68"/>
      <c r="AC441" s="68"/>
    </row>
    <row r="442" spans="1:29" x14ac:dyDescent="0.3">
      <c r="A442" s="69"/>
      <c r="B442" s="68"/>
      <c r="C442" s="68"/>
      <c r="D442" s="68"/>
      <c r="E442" s="68"/>
      <c r="F442" s="68"/>
      <c r="G442" s="68"/>
      <c r="H442" s="68"/>
      <c r="I442" s="68"/>
      <c r="J442" s="68"/>
      <c r="K442" s="68"/>
      <c r="L442" s="68"/>
      <c r="M442" s="68"/>
      <c r="N442" s="68"/>
      <c r="O442" s="68"/>
      <c r="P442" s="68"/>
      <c r="Q442" s="68"/>
      <c r="R442" s="68"/>
      <c r="S442" s="68"/>
      <c r="T442" s="68"/>
      <c r="U442" s="68"/>
      <c r="V442" s="68"/>
      <c r="W442" s="68"/>
      <c r="X442" s="68"/>
      <c r="Y442" s="68"/>
      <c r="Z442" s="68"/>
      <c r="AA442" s="68"/>
      <c r="AB442" s="68"/>
      <c r="AC442" s="68"/>
    </row>
    <row r="443" spans="1:29" x14ac:dyDescent="0.3">
      <c r="A443" s="69"/>
      <c r="B443" s="68"/>
      <c r="C443" s="68"/>
      <c r="D443" s="68"/>
      <c r="E443" s="68"/>
      <c r="F443" s="68"/>
      <c r="G443" s="68"/>
      <c r="H443" s="68"/>
      <c r="I443" s="68"/>
      <c r="J443" s="68"/>
      <c r="K443" s="68"/>
      <c r="L443" s="68"/>
      <c r="M443" s="68"/>
      <c r="N443" s="68"/>
      <c r="O443" s="68"/>
      <c r="P443" s="68"/>
      <c r="Q443" s="68"/>
      <c r="R443" s="68"/>
      <c r="S443" s="68"/>
      <c r="T443" s="68"/>
      <c r="U443" s="68"/>
      <c r="V443" s="68"/>
      <c r="W443" s="68"/>
      <c r="X443" s="68"/>
      <c r="Y443" s="68"/>
      <c r="Z443" s="68"/>
      <c r="AA443" s="68"/>
      <c r="AB443" s="68"/>
      <c r="AC443" s="68"/>
    </row>
    <row r="444" spans="1:29" x14ac:dyDescent="0.3">
      <c r="A444" s="69"/>
      <c r="B444" s="68"/>
      <c r="C444" s="68"/>
      <c r="D444" s="68"/>
      <c r="E444" s="68"/>
      <c r="F444" s="68"/>
      <c r="G444" s="68"/>
      <c r="H444" s="68"/>
      <c r="I444" s="68"/>
      <c r="J444" s="68"/>
      <c r="K444" s="68"/>
      <c r="L444" s="68"/>
      <c r="M444" s="68"/>
      <c r="N444" s="68"/>
      <c r="O444" s="68"/>
      <c r="P444" s="68"/>
      <c r="Q444" s="68"/>
      <c r="R444" s="68"/>
      <c r="S444" s="68"/>
      <c r="T444" s="68"/>
      <c r="U444" s="68"/>
      <c r="V444" s="68"/>
      <c r="W444" s="68"/>
      <c r="X444" s="68"/>
      <c r="Y444" s="68"/>
      <c r="Z444" s="68"/>
      <c r="AA444" s="68"/>
      <c r="AB444" s="68"/>
      <c r="AC444" s="68"/>
    </row>
    <row r="445" spans="1:29" x14ac:dyDescent="0.3">
      <c r="A445" s="69"/>
      <c r="B445" s="68"/>
      <c r="C445" s="68"/>
      <c r="D445" s="68"/>
      <c r="E445" s="68"/>
      <c r="F445" s="68"/>
      <c r="G445" s="68"/>
      <c r="H445" s="68"/>
      <c r="I445" s="68"/>
      <c r="J445" s="68"/>
      <c r="K445" s="68"/>
      <c r="L445" s="68"/>
      <c r="M445" s="68"/>
      <c r="N445" s="68"/>
      <c r="O445" s="68"/>
      <c r="P445" s="68"/>
      <c r="Q445" s="68"/>
      <c r="R445" s="68"/>
      <c r="S445" s="68"/>
      <c r="T445" s="68"/>
      <c r="U445" s="68"/>
      <c r="V445" s="68"/>
      <c r="W445" s="68"/>
      <c r="X445" s="68"/>
      <c r="Y445" s="68"/>
      <c r="Z445" s="68"/>
      <c r="AA445" s="68"/>
      <c r="AB445" s="68"/>
      <c r="AC445" s="68"/>
    </row>
    <row r="446" spans="1:29" x14ac:dyDescent="0.3">
      <c r="A446" s="69"/>
      <c r="B446" s="68"/>
      <c r="C446" s="68"/>
      <c r="D446" s="68"/>
      <c r="E446" s="68"/>
      <c r="F446" s="68"/>
      <c r="G446" s="68"/>
      <c r="H446" s="68"/>
      <c r="I446" s="68"/>
      <c r="J446" s="68"/>
      <c r="K446" s="68"/>
      <c r="L446" s="68"/>
      <c r="M446" s="68"/>
      <c r="N446" s="68"/>
      <c r="O446" s="68"/>
      <c r="P446" s="68"/>
      <c r="Q446" s="68"/>
      <c r="R446" s="68"/>
      <c r="S446" s="68"/>
      <c r="T446" s="68"/>
      <c r="U446" s="68"/>
      <c r="V446" s="68"/>
      <c r="W446" s="68"/>
      <c r="X446" s="68"/>
      <c r="Y446" s="68"/>
      <c r="Z446" s="68"/>
      <c r="AA446" s="68"/>
      <c r="AB446" s="68"/>
      <c r="AC446" s="68"/>
    </row>
    <row r="447" spans="1:29" x14ac:dyDescent="0.3">
      <c r="A447" s="69"/>
      <c r="B447" s="68"/>
      <c r="C447" s="68"/>
      <c r="D447" s="68"/>
      <c r="E447" s="68"/>
      <c r="F447" s="68"/>
      <c r="G447" s="68"/>
      <c r="H447" s="68"/>
      <c r="I447" s="68"/>
      <c r="J447" s="68"/>
      <c r="K447" s="68"/>
      <c r="L447" s="68"/>
      <c r="M447" s="68"/>
      <c r="N447" s="68"/>
      <c r="O447" s="68"/>
      <c r="P447" s="68"/>
      <c r="Q447" s="68"/>
      <c r="R447" s="68"/>
      <c r="S447" s="68"/>
      <c r="T447" s="68"/>
      <c r="U447" s="68"/>
      <c r="V447" s="68"/>
      <c r="W447" s="68"/>
      <c r="X447" s="68"/>
      <c r="Y447" s="68"/>
      <c r="Z447" s="68"/>
      <c r="AA447" s="68"/>
      <c r="AB447" s="68"/>
      <c r="AC447" s="68"/>
    </row>
    <row r="448" spans="1:29" x14ac:dyDescent="0.3">
      <c r="A448" s="69"/>
      <c r="B448" s="68"/>
      <c r="C448" s="68"/>
      <c r="D448" s="68"/>
      <c r="E448" s="68"/>
      <c r="F448" s="68"/>
      <c r="G448" s="68"/>
      <c r="H448" s="68"/>
      <c r="I448" s="68"/>
      <c r="J448" s="68"/>
      <c r="K448" s="68"/>
      <c r="L448" s="68"/>
      <c r="M448" s="68"/>
      <c r="N448" s="68"/>
      <c r="O448" s="68"/>
      <c r="P448" s="68"/>
      <c r="Q448" s="68"/>
      <c r="R448" s="68"/>
      <c r="S448" s="68"/>
      <c r="T448" s="68"/>
      <c r="U448" s="68"/>
      <c r="V448" s="68"/>
      <c r="W448" s="68"/>
      <c r="X448" s="68"/>
      <c r="Y448" s="68"/>
      <c r="Z448" s="68"/>
      <c r="AA448" s="68"/>
      <c r="AB448" s="68"/>
      <c r="AC448" s="68"/>
    </row>
    <row r="449" spans="1:29" x14ac:dyDescent="0.3">
      <c r="A449" s="69"/>
      <c r="B449" s="68"/>
      <c r="C449" s="68"/>
      <c r="D449" s="68"/>
      <c r="E449" s="68"/>
      <c r="F449" s="68"/>
      <c r="G449" s="68"/>
      <c r="H449" s="68"/>
      <c r="I449" s="68"/>
      <c r="J449" s="68"/>
      <c r="K449" s="68"/>
      <c r="L449" s="68"/>
      <c r="M449" s="68"/>
      <c r="N449" s="68"/>
      <c r="O449" s="68"/>
      <c r="P449" s="68"/>
      <c r="Q449" s="68"/>
      <c r="R449" s="68"/>
      <c r="S449" s="68"/>
      <c r="T449" s="68"/>
      <c r="U449" s="68"/>
      <c r="V449" s="68"/>
      <c r="W449" s="68"/>
      <c r="X449" s="68"/>
      <c r="Y449" s="68"/>
      <c r="Z449" s="68"/>
      <c r="AA449" s="68"/>
      <c r="AB449" s="68"/>
      <c r="AC449" s="68"/>
    </row>
    <row r="450" spans="1:29" x14ac:dyDescent="0.3">
      <c r="A450" s="69"/>
      <c r="B450" s="68"/>
      <c r="C450" s="68"/>
      <c r="D450" s="68"/>
      <c r="E450" s="68"/>
      <c r="F450" s="68"/>
      <c r="G450" s="68"/>
      <c r="H450" s="68"/>
      <c r="I450" s="68"/>
      <c r="J450" s="68"/>
      <c r="K450" s="68"/>
      <c r="L450" s="68"/>
      <c r="M450" s="68"/>
      <c r="N450" s="68"/>
      <c r="O450" s="68"/>
      <c r="P450" s="68"/>
      <c r="Q450" s="68"/>
      <c r="R450" s="68"/>
      <c r="S450" s="68"/>
      <c r="T450" s="68"/>
      <c r="U450" s="68"/>
      <c r="V450" s="68"/>
      <c r="W450" s="68"/>
      <c r="X450" s="68"/>
      <c r="Y450" s="68"/>
      <c r="Z450" s="68"/>
      <c r="AA450" s="68"/>
      <c r="AB450" s="68"/>
      <c r="AC450" s="68"/>
    </row>
    <row r="451" spans="1:29" x14ac:dyDescent="0.3">
      <c r="A451" s="69"/>
      <c r="B451" s="68"/>
      <c r="C451" s="68"/>
      <c r="D451" s="68"/>
      <c r="E451" s="68"/>
      <c r="F451" s="68"/>
      <c r="G451" s="68"/>
      <c r="H451" s="68"/>
      <c r="I451" s="68"/>
      <c r="J451" s="68"/>
      <c r="K451" s="68"/>
      <c r="L451" s="68"/>
      <c r="M451" s="68"/>
      <c r="N451" s="68"/>
      <c r="O451" s="68"/>
      <c r="P451" s="68"/>
      <c r="Q451" s="68"/>
      <c r="R451" s="68"/>
      <c r="S451" s="68"/>
      <c r="T451" s="68"/>
      <c r="U451" s="68"/>
      <c r="V451" s="68"/>
      <c r="W451" s="68"/>
      <c r="X451" s="68"/>
      <c r="Y451" s="68"/>
      <c r="Z451" s="68"/>
      <c r="AA451" s="68"/>
      <c r="AB451" s="68"/>
      <c r="AC451" s="68"/>
    </row>
    <row r="452" spans="1:29" x14ac:dyDescent="0.3">
      <c r="A452" s="69"/>
      <c r="B452" s="68"/>
      <c r="C452" s="68"/>
      <c r="D452" s="68"/>
      <c r="E452" s="68"/>
      <c r="F452" s="68"/>
      <c r="G452" s="68"/>
      <c r="H452" s="68"/>
      <c r="I452" s="68"/>
      <c r="J452" s="68"/>
      <c r="K452" s="68"/>
      <c r="L452" s="68"/>
      <c r="M452" s="68"/>
      <c r="N452" s="68"/>
      <c r="O452" s="68"/>
      <c r="P452" s="68"/>
      <c r="Q452" s="68"/>
      <c r="R452" s="68"/>
      <c r="S452" s="68"/>
      <c r="T452" s="68"/>
      <c r="U452" s="68"/>
      <c r="V452" s="68"/>
      <c r="W452" s="68"/>
      <c r="X452" s="68"/>
      <c r="Y452" s="68"/>
      <c r="Z452" s="68"/>
      <c r="AA452" s="68"/>
      <c r="AB452" s="68"/>
      <c r="AC452" s="68"/>
    </row>
    <row r="453" spans="1:29" x14ac:dyDescent="0.3">
      <c r="A453" s="69"/>
      <c r="B453" s="68"/>
      <c r="C453" s="68"/>
      <c r="D453" s="68"/>
      <c r="E453" s="68"/>
      <c r="F453" s="68"/>
      <c r="G453" s="68"/>
      <c r="H453" s="68"/>
      <c r="I453" s="68"/>
      <c r="J453" s="68"/>
      <c r="K453" s="68"/>
      <c r="L453" s="68"/>
      <c r="M453" s="68"/>
      <c r="N453" s="68"/>
      <c r="O453" s="68"/>
      <c r="P453" s="68"/>
      <c r="Q453" s="68"/>
      <c r="R453" s="68"/>
      <c r="S453" s="68"/>
      <c r="T453" s="68"/>
      <c r="U453" s="68"/>
      <c r="V453" s="68"/>
      <c r="W453" s="68"/>
      <c r="X453" s="68"/>
      <c r="Y453" s="68"/>
      <c r="Z453" s="68"/>
      <c r="AA453" s="68"/>
      <c r="AB453" s="68"/>
      <c r="AC453" s="68"/>
    </row>
    <row r="454" spans="1:29" x14ac:dyDescent="0.3">
      <c r="A454" s="69"/>
      <c r="B454" s="68"/>
      <c r="C454" s="68"/>
      <c r="D454" s="68"/>
      <c r="E454" s="68"/>
      <c r="F454" s="68"/>
      <c r="G454" s="68"/>
      <c r="H454" s="68"/>
      <c r="I454" s="68"/>
      <c r="J454" s="68"/>
      <c r="K454" s="68"/>
      <c r="L454" s="68"/>
      <c r="M454" s="68"/>
      <c r="N454" s="68"/>
      <c r="O454" s="68"/>
      <c r="P454" s="68"/>
      <c r="Q454" s="68"/>
      <c r="R454" s="68"/>
      <c r="S454" s="68"/>
      <c r="T454" s="68"/>
      <c r="U454" s="68"/>
      <c r="V454" s="68"/>
      <c r="W454" s="68"/>
      <c r="X454" s="68"/>
      <c r="Y454" s="68"/>
      <c r="Z454" s="68"/>
      <c r="AA454" s="68"/>
      <c r="AB454" s="68"/>
      <c r="AC454" s="68"/>
    </row>
    <row r="455" spans="1:29" x14ac:dyDescent="0.3">
      <c r="A455" s="69"/>
      <c r="B455" s="68"/>
      <c r="C455" s="68"/>
      <c r="D455" s="68"/>
      <c r="E455" s="68"/>
      <c r="F455" s="68"/>
      <c r="G455" s="68"/>
      <c r="H455" s="68"/>
      <c r="I455" s="68"/>
      <c r="J455" s="68"/>
      <c r="K455" s="68"/>
      <c r="L455" s="68"/>
      <c r="M455" s="68"/>
      <c r="N455" s="68"/>
      <c r="O455" s="68"/>
      <c r="P455" s="68"/>
      <c r="Q455" s="68"/>
      <c r="R455" s="68"/>
      <c r="S455" s="68"/>
      <c r="T455" s="68"/>
      <c r="U455" s="68"/>
      <c r="V455" s="68"/>
      <c r="W455" s="68"/>
      <c r="X455" s="68"/>
      <c r="Y455" s="68"/>
      <c r="Z455" s="68"/>
      <c r="AA455" s="68"/>
      <c r="AB455" s="68"/>
      <c r="AC455" s="68"/>
    </row>
    <row r="456" spans="1:29" x14ac:dyDescent="0.3">
      <c r="A456" s="69"/>
      <c r="B456" s="68"/>
      <c r="C456" s="68"/>
      <c r="D456" s="68"/>
      <c r="E456" s="68"/>
      <c r="F456" s="68"/>
      <c r="G456" s="68"/>
      <c r="H456" s="68"/>
      <c r="I456" s="68"/>
      <c r="J456" s="68"/>
      <c r="K456" s="68"/>
      <c r="L456" s="68"/>
      <c r="M456" s="68"/>
      <c r="N456" s="68"/>
      <c r="O456" s="68"/>
      <c r="P456" s="68"/>
      <c r="Q456" s="68"/>
      <c r="R456" s="68"/>
      <c r="S456" s="68"/>
      <c r="T456" s="68"/>
      <c r="U456" s="68"/>
      <c r="V456" s="68"/>
      <c r="W456" s="68"/>
      <c r="X456" s="68"/>
      <c r="Y456" s="68"/>
      <c r="Z456" s="68"/>
      <c r="AA456" s="68"/>
      <c r="AB456" s="68"/>
      <c r="AC456" s="68"/>
    </row>
    <row r="457" spans="1:29" x14ac:dyDescent="0.3">
      <c r="A457" s="69"/>
      <c r="B457" s="68"/>
      <c r="C457" s="68"/>
      <c r="D457" s="68"/>
      <c r="E457" s="68"/>
      <c r="F457" s="68"/>
      <c r="G457" s="68"/>
      <c r="H457" s="68"/>
      <c r="I457" s="68"/>
      <c r="J457" s="68"/>
      <c r="K457" s="68"/>
      <c r="L457" s="68"/>
      <c r="M457" s="68"/>
      <c r="N457" s="68"/>
      <c r="O457" s="68"/>
      <c r="P457" s="68"/>
      <c r="Q457" s="68"/>
      <c r="R457" s="68"/>
      <c r="S457" s="68"/>
      <c r="T457" s="68"/>
      <c r="U457" s="68"/>
      <c r="V457" s="68"/>
      <c r="W457" s="68"/>
      <c r="X457" s="68"/>
      <c r="Y457" s="68"/>
      <c r="Z457" s="68"/>
      <c r="AA457" s="68"/>
      <c r="AB457" s="68"/>
      <c r="AC457" s="68"/>
    </row>
    <row r="458" spans="1:29" x14ac:dyDescent="0.3">
      <c r="A458" s="69"/>
      <c r="B458" s="68"/>
      <c r="C458" s="68"/>
      <c r="D458" s="68"/>
      <c r="E458" s="68"/>
      <c r="F458" s="68"/>
      <c r="G458" s="68"/>
      <c r="H458" s="68"/>
      <c r="I458" s="68"/>
      <c r="J458" s="68"/>
      <c r="K458" s="68"/>
      <c r="L458" s="68"/>
      <c r="M458" s="68"/>
      <c r="N458" s="68"/>
      <c r="O458" s="68"/>
      <c r="P458" s="68"/>
      <c r="Q458" s="68"/>
      <c r="R458" s="68"/>
      <c r="S458" s="68"/>
      <c r="T458" s="68"/>
      <c r="U458" s="68"/>
      <c r="V458" s="68"/>
      <c r="W458" s="68"/>
      <c r="X458" s="68"/>
      <c r="Y458" s="68"/>
      <c r="Z458" s="68"/>
      <c r="AA458" s="68"/>
      <c r="AB458" s="68"/>
      <c r="AC458" s="68"/>
    </row>
    <row r="459" spans="1:29" x14ac:dyDescent="0.3">
      <c r="A459" s="69"/>
      <c r="B459" s="68"/>
      <c r="C459" s="68"/>
      <c r="D459" s="68"/>
      <c r="E459" s="68"/>
      <c r="F459" s="68"/>
      <c r="G459" s="68"/>
      <c r="H459" s="68"/>
      <c r="I459" s="68"/>
      <c r="J459" s="68"/>
      <c r="K459" s="68"/>
      <c r="L459" s="68"/>
      <c r="M459" s="68"/>
      <c r="N459" s="68"/>
      <c r="O459" s="68"/>
      <c r="P459" s="68"/>
      <c r="Q459" s="68"/>
      <c r="R459" s="68"/>
      <c r="S459" s="68"/>
      <c r="T459" s="68"/>
      <c r="U459" s="68"/>
      <c r="V459" s="68"/>
      <c r="W459" s="68"/>
      <c r="X459" s="68"/>
      <c r="Y459" s="68"/>
      <c r="Z459" s="68"/>
      <c r="AA459" s="68"/>
      <c r="AB459" s="68"/>
      <c r="AC459" s="68"/>
    </row>
    <row r="460" spans="1:29" x14ac:dyDescent="0.3">
      <c r="A460" s="69"/>
      <c r="B460" s="68"/>
      <c r="C460" s="68"/>
      <c r="D460" s="68"/>
      <c r="E460" s="68"/>
      <c r="F460" s="68"/>
      <c r="G460" s="68"/>
      <c r="H460" s="68"/>
      <c r="I460" s="68"/>
      <c r="J460" s="68"/>
      <c r="K460" s="68"/>
      <c r="L460" s="68"/>
      <c r="M460" s="68"/>
      <c r="N460" s="68"/>
      <c r="O460" s="68"/>
      <c r="P460" s="68"/>
      <c r="Q460" s="68"/>
      <c r="R460" s="68"/>
      <c r="S460" s="68"/>
      <c r="T460" s="68"/>
      <c r="U460" s="68"/>
      <c r="V460" s="68"/>
      <c r="W460" s="68"/>
      <c r="X460" s="68"/>
      <c r="Y460" s="68"/>
      <c r="Z460" s="68"/>
      <c r="AA460" s="68"/>
      <c r="AB460" s="68"/>
      <c r="AC460" s="68"/>
    </row>
    <row r="461" spans="1:29" x14ac:dyDescent="0.3">
      <c r="A461" s="69"/>
      <c r="B461" s="68"/>
      <c r="C461" s="68"/>
      <c r="D461" s="68"/>
      <c r="E461" s="68"/>
      <c r="F461" s="68"/>
      <c r="G461" s="68"/>
      <c r="H461" s="68"/>
      <c r="I461" s="68"/>
      <c r="J461" s="68"/>
      <c r="K461" s="68"/>
      <c r="L461" s="68"/>
      <c r="M461" s="68"/>
      <c r="N461" s="68"/>
      <c r="O461" s="68"/>
      <c r="P461" s="68"/>
      <c r="Q461" s="68"/>
      <c r="R461" s="68"/>
      <c r="S461" s="68"/>
      <c r="T461" s="68"/>
      <c r="U461" s="68"/>
      <c r="V461" s="68"/>
      <c r="W461" s="68"/>
      <c r="X461" s="68"/>
      <c r="Y461" s="68"/>
      <c r="Z461" s="68"/>
      <c r="AA461" s="68"/>
      <c r="AB461" s="68"/>
      <c r="AC461" s="68"/>
    </row>
    <row r="462" spans="1:29" x14ac:dyDescent="0.3">
      <c r="A462" s="69"/>
      <c r="B462" s="68"/>
      <c r="C462" s="68"/>
      <c r="D462" s="68"/>
      <c r="E462" s="68"/>
      <c r="F462" s="68"/>
      <c r="G462" s="68"/>
      <c r="H462" s="68"/>
      <c r="I462" s="68"/>
      <c r="J462" s="68"/>
      <c r="K462" s="68"/>
      <c r="L462" s="68"/>
      <c r="M462" s="68"/>
      <c r="N462" s="68"/>
      <c r="O462" s="68"/>
      <c r="P462" s="68"/>
      <c r="Q462" s="68"/>
      <c r="R462" s="68"/>
      <c r="S462" s="68"/>
      <c r="T462" s="68"/>
      <c r="U462" s="68"/>
      <c r="V462" s="68"/>
      <c r="W462" s="68"/>
      <c r="X462" s="68"/>
      <c r="Y462" s="68"/>
      <c r="Z462" s="68"/>
      <c r="AA462" s="68"/>
      <c r="AB462" s="68"/>
      <c r="AC462" s="68"/>
    </row>
    <row r="463" spans="1:29" x14ac:dyDescent="0.3">
      <c r="A463" s="69"/>
      <c r="B463" s="68"/>
      <c r="C463" s="68"/>
      <c r="D463" s="68"/>
      <c r="E463" s="68"/>
      <c r="F463" s="68"/>
      <c r="G463" s="68"/>
      <c r="H463" s="68"/>
      <c r="I463" s="68"/>
      <c r="J463" s="68"/>
      <c r="K463" s="68"/>
      <c r="L463" s="68"/>
      <c r="M463" s="68"/>
      <c r="N463" s="68"/>
      <c r="O463" s="68"/>
      <c r="P463" s="68"/>
      <c r="Q463" s="68"/>
      <c r="R463" s="68"/>
      <c r="S463" s="68"/>
      <c r="T463" s="68"/>
      <c r="U463" s="68"/>
      <c r="V463" s="68"/>
      <c r="W463" s="68"/>
      <c r="X463" s="68"/>
      <c r="Y463" s="68"/>
      <c r="Z463" s="68"/>
      <c r="AA463" s="68"/>
      <c r="AB463" s="68"/>
      <c r="AC463" s="68"/>
    </row>
    <row r="464" spans="1:29" x14ac:dyDescent="0.3">
      <c r="A464" s="69"/>
      <c r="B464" s="68"/>
      <c r="C464" s="68"/>
      <c r="D464" s="68"/>
      <c r="E464" s="68"/>
      <c r="F464" s="68"/>
      <c r="G464" s="68"/>
      <c r="H464" s="68"/>
      <c r="I464" s="68"/>
      <c r="J464" s="68"/>
      <c r="K464" s="68"/>
      <c r="L464" s="68"/>
      <c r="M464" s="68"/>
      <c r="N464" s="68"/>
      <c r="O464" s="68"/>
      <c r="P464" s="68"/>
      <c r="Q464" s="68"/>
      <c r="R464" s="68"/>
      <c r="S464" s="68"/>
      <c r="T464" s="68"/>
      <c r="U464" s="68"/>
      <c r="V464" s="68"/>
      <c r="W464" s="68"/>
      <c r="X464" s="68"/>
      <c r="Y464" s="68"/>
      <c r="Z464" s="68"/>
      <c r="AA464" s="68"/>
      <c r="AB464" s="68"/>
      <c r="AC464" s="68"/>
    </row>
    <row r="465" spans="1:29" x14ac:dyDescent="0.3">
      <c r="A465" s="69"/>
      <c r="B465" s="68"/>
      <c r="C465" s="68"/>
      <c r="D465" s="68"/>
      <c r="E465" s="68"/>
      <c r="F465" s="68"/>
      <c r="G465" s="68"/>
      <c r="H465" s="68"/>
      <c r="I465" s="68"/>
      <c r="J465" s="68"/>
      <c r="K465" s="68"/>
      <c r="L465" s="68"/>
      <c r="M465" s="68"/>
      <c r="N465" s="68"/>
      <c r="O465" s="68"/>
      <c r="P465" s="68"/>
      <c r="Q465" s="68"/>
      <c r="R465" s="68"/>
      <c r="S465" s="68"/>
      <c r="T465" s="68"/>
      <c r="U465" s="68"/>
      <c r="V465" s="68"/>
      <c r="W465" s="68"/>
      <c r="X465" s="68"/>
      <c r="Y465" s="68"/>
      <c r="Z465" s="68"/>
      <c r="AA465" s="68"/>
      <c r="AB465" s="68"/>
      <c r="AC465" s="68"/>
    </row>
    <row r="466" spans="1:29" x14ac:dyDescent="0.3">
      <c r="A466" s="69"/>
      <c r="B466" s="68"/>
      <c r="C466" s="68"/>
      <c r="D466" s="68"/>
      <c r="E466" s="68"/>
      <c r="F466" s="68"/>
      <c r="G466" s="68"/>
      <c r="H466" s="68"/>
      <c r="I466" s="68"/>
      <c r="J466" s="68"/>
      <c r="K466" s="68"/>
      <c r="L466" s="68"/>
      <c r="M466" s="68"/>
      <c r="N466" s="68"/>
      <c r="O466" s="68"/>
      <c r="P466" s="68"/>
      <c r="Q466" s="68"/>
      <c r="R466" s="68"/>
      <c r="S466" s="68"/>
      <c r="T466" s="68"/>
      <c r="U466" s="68"/>
      <c r="V466" s="68"/>
      <c r="W466" s="68"/>
      <c r="X466" s="68"/>
      <c r="Y466" s="68"/>
      <c r="Z466" s="68"/>
      <c r="AA466" s="68"/>
      <c r="AB466" s="68"/>
      <c r="AC466" s="68"/>
    </row>
    <row r="467" spans="1:29" x14ac:dyDescent="0.3">
      <c r="A467" s="69"/>
      <c r="B467" s="68"/>
      <c r="C467" s="68"/>
      <c r="D467" s="68"/>
      <c r="E467" s="68"/>
      <c r="F467" s="68"/>
      <c r="G467" s="68"/>
      <c r="H467" s="68"/>
      <c r="I467" s="68"/>
      <c r="J467" s="68"/>
      <c r="K467" s="68"/>
      <c r="L467" s="68"/>
      <c r="M467" s="68"/>
      <c r="N467" s="68"/>
      <c r="O467" s="68"/>
      <c r="P467" s="68"/>
      <c r="Q467" s="68"/>
      <c r="R467" s="68"/>
      <c r="S467" s="68"/>
      <c r="T467" s="68"/>
      <c r="U467" s="68"/>
      <c r="V467" s="68"/>
      <c r="W467" s="68"/>
      <c r="X467" s="68"/>
      <c r="Y467" s="68"/>
      <c r="Z467" s="68"/>
      <c r="AA467" s="68"/>
      <c r="AB467" s="68"/>
      <c r="AC467" s="68"/>
    </row>
    <row r="468" spans="1:29" x14ac:dyDescent="0.3">
      <c r="A468" s="69"/>
      <c r="B468" s="68"/>
      <c r="C468" s="68"/>
      <c r="D468" s="68"/>
      <c r="E468" s="68"/>
      <c r="F468" s="68"/>
      <c r="G468" s="68"/>
      <c r="H468" s="68"/>
      <c r="I468" s="68"/>
      <c r="J468" s="68"/>
      <c r="K468" s="68"/>
      <c r="L468" s="68"/>
      <c r="M468" s="68"/>
      <c r="N468" s="68"/>
      <c r="O468" s="68"/>
      <c r="P468" s="68"/>
      <c r="Q468" s="68"/>
      <c r="R468" s="68"/>
      <c r="S468" s="68"/>
      <c r="T468" s="68"/>
      <c r="U468" s="68"/>
      <c r="V468" s="68"/>
      <c r="W468" s="68"/>
      <c r="X468" s="68"/>
      <c r="Y468" s="68"/>
      <c r="Z468" s="68"/>
      <c r="AA468" s="68"/>
      <c r="AB468" s="68"/>
      <c r="AC468" s="68"/>
    </row>
    <row r="469" spans="1:29" x14ac:dyDescent="0.3">
      <c r="A469" s="69"/>
      <c r="B469" s="68"/>
      <c r="C469" s="68"/>
      <c r="D469" s="68"/>
      <c r="E469" s="68"/>
      <c r="F469" s="68"/>
      <c r="G469" s="68"/>
      <c r="H469" s="68"/>
      <c r="I469" s="68"/>
      <c r="J469" s="68"/>
      <c r="K469" s="68"/>
      <c r="L469" s="68"/>
      <c r="M469" s="68"/>
      <c r="N469" s="68"/>
      <c r="O469" s="68"/>
      <c r="P469" s="68"/>
      <c r="Q469" s="68"/>
      <c r="R469" s="68"/>
      <c r="S469" s="68"/>
      <c r="T469" s="68"/>
      <c r="U469" s="68"/>
      <c r="V469" s="68"/>
      <c r="W469" s="68"/>
      <c r="X469" s="68"/>
      <c r="Y469" s="68"/>
      <c r="Z469" s="68"/>
      <c r="AA469" s="68"/>
      <c r="AB469" s="68"/>
      <c r="AC469" s="68"/>
    </row>
    <row r="470" spans="1:29" x14ac:dyDescent="0.3">
      <c r="A470" s="69"/>
      <c r="B470" s="68"/>
      <c r="C470" s="68"/>
      <c r="D470" s="68"/>
      <c r="E470" s="68"/>
      <c r="F470" s="68"/>
      <c r="G470" s="68"/>
      <c r="H470" s="68"/>
      <c r="I470" s="68"/>
      <c r="J470" s="68"/>
      <c r="K470" s="68"/>
      <c r="L470" s="68"/>
      <c r="M470" s="68"/>
      <c r="N470" s="68"/>
      <c r="O470" s="68"/>
      <c r="P470" s="68"/>
      <c r="Q470" s="68"/>
      <c r="R470" s="68"/>
      <c r="S470" s="68"/>
      <c r="T470" s="68"/>
      <c r="U470" s="68"/>
      <c r="V470" s="68"/>
      <c r="W470" s="68"/>
      <c r="X470" s="68"/>
      <c r="Y470" s="68"/>
      <c r="Z470" s="68"/>
      <c r="AA470" s="68"/>
      <c r="AB470" s="68"/>
      <c r="AC470" s="68"/>
    </row>
    <row r="471" spans="1:29" x14ac:dyDescent="0.3">
      <c r="A471" s="69"/>
      <c r="B471" s="68"/>
      <c r="C471" s="68"/>
      <c r="D471" s="68"/>
      <c r="E471" s="68"/>
      <c r="F471" s="68"/>
      <c r="G471" s="68"/>
      <c r="H471" s="68"/>
      <c r="I471" s="68"/>
      <c r="J471" s="68"/>
      <c r="K471" s="68"/>
      <c r="L471" s="68"/>
      <c r="M471" s="68"/>
      <c r="N471" s="68"/>
      <c r="O471" s="68"/>
      <c r="P471" s="68"/>
      <c r="Q471" s="68"/>
      <c r="R471" s="68"/>
      <c r="S471" s="68"/>
      <c r="T471" s="68"/>
      <c r="U471" s="68"/>
      <c r="V471" s="68"/>
      <c r="W471" s="68"/>
      <c r="X471" s="68"/>
      <c r="Y471" s="68"/>
      <c r="Z471" s="68"/>
      <c r="AA471" s="68"/>
      <c r="AB471" s="68"/>
      <c r="AC471" s="68"/>
    </row>
    <row r="472" spans="1:29" x14ac:dyDescent="0.3">
      <c r="A472" s="69"/>
      <c r="B472" s="68"/>
      <c r="C472" s="68"/>
      <c r="D472" s="68"/>
      <c r="E472" s="68"/>
      <c r="F472" s="68"/>
      <c r="G472" s="68"/>
      <c r="H472" s="68"/>
      <c r="I472" s="68"/>
      <c r="J472" s="68"/>
      <c r="K472" s="68"/>
      <c r="L472" s="68"/>
      <c r="M472" s="68"/>
      <c r="N472" s="68"/>
      <c r="O472" s="68"/>
      <c r="P472" s="68"/>
      <c r="Q472" s="68"/>
      <c r="R472" s="68"/>
      <c r="S472" s="68"/>
      <c r="T472" s="68"/>
      <c r="U472" s="68"/>
      <c r="V472" s="68"/>
      <c r="W472" s="68"/>
      <c r="X472" s="68"/>
      <c r="Y472" s="68"/>
      <c r="Z472" s="68"/>
      <c r="AA472" s="68"/>
      <c r="AB472" s="68"/>
      <c r="AC472" s="68"/>
    </row>
    <row r="473" spans="1:29" x14ac:dyDescent="0.3">
      <c r="A473" s="69"/>
      <c r="B473" s="68"/>
      <c r="C473" s="68"/>
      <c r="D473" s="68"/>
      <c r="E473" s="68"/>
      <c r="F473" s="68"/>
      <c r="G473" s="68"/>
      <c r="H473" s="68"/>
      <c r="I473" s="68"/>
      <c r="J473" s="68"/>
      <c r="K473" s="68"/>
      <c r="L473" s="68"/>
      <c r="M473" s="68"/>
      <c r="N473" s="68"/>
      <c r="O473" s="68"/>
      <c r="P473" s="68"/>
      <c r="Q473" s="68"/>
      <c r="R473" s="68"/>
      <c r="S473" s="68"/>
      <c r="T473" s="68"/>
      <c r="U473" s="68"/>
      <c r="V473" s="68"/>
      <c r="W473" s="68"/>
      <c r="X473" s="68"/>
      <c r="Y473" s="68"/>
      <c r="Z473" s="68"/>
      <c r="AA473" s="68"/>
      <c r="AB473" s="68"/>
      <c r="AC473" s="68"/>
    </row>
    <row r="474" spans="1:29" x14ac:dyDescent="0.3">
      <c r="A474" s="69"/>
      <c r="B474" s="68"/>
      <c r="C474" s="68"/>
      <c r="D474" s="68"/>
      <c r="E474" s="68"/>
      <c r="F474" s="68"/>
      <c r="G474" s="68"/>
      <c r="H474" s="68"/>
      <c r="I474" s="68"/>
      <c r="J474" s="68"/>
      <c r="K474" s="68"/>
      <c r="L474" s="68"/>
      <c r="M474" s="68"/>
      <c r="N474" s="68"/>
      <c r="O474" s="68"/>
      <c r="P474" s="68"/>
      <c r="Q474" s="68"/>
      <c r="R474" s="68"/>
      <c r="S474" s="68"/>
      <c r="T474" s="68"/>
      <c r="U474" s="68"/>
      <c r="V474" s="68"/>
      <c r="W474" s="68"/>
      <c r="X474" s="68"/>
      <c r="Y474" s="68"/>
      <c r="Z474" s="68"/>
      <c r="AA474" s="68"/>
      <c r="AB474" s="68"/>
      <c r="AC474" s="68"/>
    </row>
    <row r="475" spans="1:29" x14ac:dyDescent="0.3">
      <c r="A475" s="69"/>
      <c r="B475" s="68"/>
      <c r="C475" s="68"/>
      <c r="D475" s="68"/>
      <c r="E475" s="68"/>
      <c r="F475" s="68"/>
      <c r="G475" s="68"/>
      <c r="H475" s="68"/>
      <c r="I475" s="68"/>
      <c r="J475" s="68"/>
      <c r="K475" s="68"/>
      <c r="L475" s="68"/>
      <c r="M475" s="68"/>
      <c r="N475" s="68"/>
      <c r="O475" s="68"/>
      <c r="P475" s="68"/>
      <c r="Q475" s="68"/>
      <c r="R475" s="68"/>
      <c r="S475" s="68"/>
      <c r="T475" s="68"/>
      <c r="U475" s="68"/>
      <c r="V475" s="68"/>
      <c r="W475" s="68"/>
      <c r="X475" s="68"/>
      <c r="Y475" s="68"/>
      <c r="Z475" s="68"/>
      <c r="AA475" s="68"/>
      <c r="AB475" s="68"/>
      <c r="AC475" s="68"/>
    </row>
    <row r="476" spans="1:29" x14ac:dyDescent="0.3">
      <c r="A476" s="69"/>
      <c r="B476" s="68"/>
      <c r="C476" s="68"/>
      <c r="D476" s="68"/>
      <c r="E476" s="68"/>
      <c r="F476" s="68"/>
      <c r="G476" s="68"/>
      <c r="H476" s="68"/>
      <c r="I476" s="68"/>
      <c r="J476" s="68"/>
      <c r="K476" s="68"/>
      <c r="L476" s="68"/>
      <c r="M476" s="68"/>
      <c r="N476" s="68"/>
      <c r="O476" s="68"/>
      <c r="P476" s="68"/>
      <c r="Q476" s="68"/>
      <c r="R476" s="68"/>
      <c r="S476" s="68"/>
      <c r="T476" s="68"/>
      <c r="U476" s="68"/>
      <c r="V476" s="68"/>
      <c r="W476" s="68"/>
      <c r="X476" s="68"/>
      <c r="Y476" s="68"/>
      <c r="Z476" s="68"/>
      <c r="AA476" s="68"/>
      <c r="AB476" s="68"/>
      <c r="AC476" s="68"/>
    </row>
    <row r="477" spans="1:29" x14ac:dyDescent="0.3">
      <c r="A477" s="69"/>
      <c r="B477" s="68"/>
      <c r="C477" s="68"/>
      <c r="D477" s="68"/>
      <c r="E477" s="68"/>
      <c r="F477" s="68"/>
      <c r="G477" s="68"/>
      <c r="H477" s="68"/>
      <c r="I477" s="68"/>
      <c r="J477" s="68"/>
      <c r="K477" s="68"/>
      <c r="L477" s="68"/>
      <c r="M477" s="68"/>
      <c r="N477" s="68"/>
      <c r="O477" s="68"/>
      <c r="P477" s="68"/>
      <c r="Q477" s="68"/>
      <c r="R477" s="68"/>
      <c r="S477" s="68"/>
      <c r="T477" s="68"/>
      <c r="U477" s="68"/>
      <c r="V477" s="68"/>
      <c r="W477" s="68"/>
      <c r="X477" s="68"/>
      <c r="Y477" s="68"/>
      <c r="Z477" s="68"/>
      <c r="AA477" s="68"/>
      <c r="AB477" s="68"/>
      <c r="AC477" s="68"/>
    </row>
    <row r="478" spans="1:29" x14ac:dyDescent="0.3">
      <c r="A478" s="69"/>
      <c r="B478" s="68"/>
      <c r="C478" s="68"/>
      <c r="D478" s="68"/>
      <c r="E478" s="68"/>
      <c r="F478" s="68"/>
      <c r="G478" s="68"/>
      <c r="H478" s="68"/>
      <c r="I478" s="68"/>
      <c r="J478" s="68"/>
      <c r="K478" s="68"/>
      <c r="L478" s="68"/>
      <c r="M478" s="68"/>
      <c r="N478" s="68"/>
      <c r="O478" s="68"/>
      <c r="P478" s="68"/>
      <c r="Q478" s="68"/>
      <c r="R478" s="68"/>
      <c r="S478" s="68"/>
      <c r="T478" s="68"/>
      <c r="U478" s="68"/>
      <c r="V478" s="68"/>
      <c r="W478" s="68"/>
      <c r="X478" s="68"/>
      <c r="Y478" s="68"/>
      <c r="Z478" s="68"/>
      <c r="AA478" s="68"/>
      <c r="AB478" s="68"/>
      <c r="AC478" s="68"/>
    </row>
    <row r="479" spans="1:29" x14ac:dyDescent="0.3">
      <c r="A479" s="69"/>
      <c r="B479" s="68"/>
      <c r="C479" s="68"/>
      <c r="D479" s="68"/>
      <c r="E479" s="68"/>
      <c r="F479" s="68"/>
      <c r="G479" s="68"/>
      <c r="H479" s="68"/>
      <c r="I479" s="68"/>
      <c r="J479" s="68"/>
      <c r="K479" s="68"/>
      <c r="L479" s="68"/>
      <c r="M479" s="68"/>
      <c r="N479" s="68"/>
      <c r="O479" s="68"/>
      <c r="P479" s="68"/>
      <c r="Q479" s="68"/>
      <c r="R479" s="68"/>
      <c r="S479" s="68"/>
      <c r="T479" s="68"/>
      <c r="U479" s="68"/>
      <c r="V479" s="68"/>
      <c r="W479" s="68"/>
      <c r="X479" s="68"/>
      <c r="Y479" s="68"/>
      <c r="Z479" s="68"/>
      <c r="AA479" s="68"/>
      <c r="AB479" s="68"/>
      <c r="AC479" s="68"/>
    </row>
    <row r="480" spans="1:29" x14ac:dyDescent="0.3">
      <c r="A480" s="69"/>
      <c r="B480" s="68"/>
      <c r="C480" s="68"/>
      <c r="D480" s="68"/>
      <c r="E480" s="68"/>
      <c r="F480" s="68"/>
      <c r="G480" s="68"/>
      <c r="H480" s="68"/>
      <c r="I480" s="68"/>
      <c r="J480" s="68"/>
      <c r="K480" s="68"/>
      <c r="L480" s="68"/>
      <c r="M480" s="68"/>
      <c r="N480" s="68"/>
      <c r="O480" s="68"/>
      <c r="P480" s="68"/>
      <c r="Q480" s="68"/>
      <c r="R480" s="68"/>
      <c r="S480" s="68"/>
      <c r="T480" s="68"/>
      <c r="U480" s="68"/>
      <c r="V480" s="68"/>
      <c r="W480" s="68"/>
      <c r="X480" s="68"/>
      <c r="Y480" s="68"/>
      <c r="Z480" s="68"/>
      <c r="AA480" s="68"/>
      <c r="AB480" s="68"/>
      <c r="AC480" s="68"/>
    </row>
    <row r="481" spans="1:29" x14ac:dyDescent="0.3">
      <c r="A481" s="69"/>
      <c r="B481" s="68"/>
      <c r="C481" s="68"/>
      <c r="D481" s="68"/>
      <c r="E481" s="68"/>
      <c r="F481" s="68"/>
      <c r="G481" s="68"/>
      <c r="H481" s="68"/>
      <c r="I481" s="68"/>
      <c r="J481" s="68"/>
      <c r="K481" s="68"/>
      <c r="L481" s="68"/>
      <c r="M481" s="68"/>
      <c r="N481" s="68"/>
      <c r="O481" s="68"/>
      <c r="P481" s="68"/>
      <c r="Q481" s="68"/>
      <c r="R481" s="68"/>
      <c r="S481" s="68"/>
      <c r="T481" s="68"/>
      <c r="U481" s="68"/>
      <c r="V481" s="68"/>
      <c r="W481" s="68"/>
      <c r="X481" s="68"/>
      <c r="Y481" s="68"/>
      <c r="Z481" s="68"/>
      <c r="AA481" s="68"/>
      <c r="AB481" s="68"/>
      <c r="AC481" s="68"/>
    </row>
    <row r="482" spans="1:29" x14ac:dyDescent="0.3">
      <c r="A482" s="69"/>
      <c r="B482" s="68"/>
      <c r="C482" s="68"/>
      <c r="D482" s="68"/>
      <c r="E482" s="68"/>
      <c r="F482" s="68"/>
      <c r="G482" s="68"/>
      <c r="H482" s="68"/>
      <c r="I482" s="68"/>
      <c r="J482" s="68"/>
      <c r="K482" s="68"/>
      <c r="L482" s="68"/>
      <c r="M482" s="68"/>
      <c r="N482" s="68"/>
      <c r="O482" s="68"/>
      <c r="P482" s="68"/>
      <c r="Q482" s="68"/>
      <c r="R482" s="68"/>
      <c r="S482" s="68"/>
      <c r="T482" s="68"/>
      <c r="U482" s="68"/>
      <c r="V482" s="68"/>
      <c r="W482" s="68"/>
      <c r="X482" s="68"/>
      <c r="Y482" s="68"/>
      <c r="Z482" s="68"/>
      <c r="AA482" s="68"/>
      <c r="AB482" s="68"/>
      <c r="AC482" s="68"/>
    </row>
    <row r="483" spans="1:29" x14ac:dyDescent="0.3">
      <c r="A483" s="69"/>
      <c r="B483" s="68"/>
      <c r="C483" s="68"/>
      <c r="D483" s="68"/>
      <c r="E483" s="68"/>
      <c r="F483" s="68"/>
      <c r="G483" s="68"/>
      <c r="H483" s="68"/>
      <c r="I483" s="68"/>
      <c r="J483" s="68"/>
      <c r="K483" s="68"/>
      <c r="L483" s="68"/>
      <c r="M483" s="68"/>
      <c r="N483" s="68"/>
      <c r="O483" s="68"/>
      <c r="P483" s="68"/>
      <c r="Q483" s="68"/>
      <c r="R483" s="68"/>
      <c r="S483" s="68"/>
      <c r="T483" s="68"/>
      <c r="U483" s="68"/>
      <c r="V483" s="68"/>
      <c r="W483" s="68"/>
      <c r="X483" s="68"/>
      <c r="Y483" s="68"/>
      <c r="Z483" s="68"/>
      <c r="AA483" s="68"/>
      <c r="AB483" s="68"/>
      <c r="AC483" s="68"/>
    </row>
    <row r="484" spans="1:29" x14ac:dyDescent="0.3">
      <c r="A484" s="69"/>
      <c r="B484" s="68"/>
      <c r="C484" s="68"/>
      <c r="D484" s="68"/>
      <c r="E484" s="68"/>
      <c r="F484" s="68"/>
      <c r="G484" s="68"/>
      <c r="H484" s="68"/>
      <c r="I484" s="68"/>
      <c r="J484" s="68"/>
      <c r="K484" s="68"/>
      <c r="L484" s="68"/>
      <c r="M484" s="68"/>
      <c r="N484" s="68"/>
      <c r="O484" s="68"/>
      <c r="P484" s="68"/>
      <c r="Q484" s="68"/>
      <c r="R484" s="68"/>
      <c r="S484" s="68"/>
      <c r="T484" s="68"/>
      <c r="U484" s="68"/>
      <c r="V484" s="68"/>
      <c r="W484" s="68"/>
      <c r="X484" s="68"/>
      <c r="Y484" s="68"/>
      <c r="Z484" s="68"/>
      <c r="AA484" s="68"/>
      <c r="AB484" s="68"/>
      <c r="AC484" s="68"/>
    </row>
    <row r="485" spans="1:29" x14ac:dyDescent="0.3">
      <c r="A485" s="69"/>
      <c r="B485" s="68"/>
      <c r="C485" s="68"/>
      <c r="D485" s="68"/>
      <c r="E485" s="68"/>
      <c r="F485" s="68"/>
      <c r="G485" s="68"/>
      <c r="H485" s="68"/>
      <c r="I485" s="68"/>
      <c r="J485" s="68"/>
      <c r="K485" s="68"/>
      <c r="L485" s="68"/>
      <c r="M485" s="68"/>
      <c r="N485" s="68"/>
      <c r="O485" s="68"/>
      <c r="P485" s="68"/>
      <c r="Q485" s="68"/>
      <c r="R485" s="68"/>
      <c r="S485" s="68"/>
      <c r="T485" s="68"/>
      <c r="U485" s="68"/>
      <c r="V485" s="68"/>
      <c r="W485" s="68"/>
      <c r="X485" s="68"/>
      <c r="Y485" s="68"/>
      <c r="Z485" s="68"/>
      <c r="AA485" s="68"/>
      <c r="AB485" s="68"/>
      <c r="AC485" s="68"/>
    </row>
    <row r="486" spans="1:29" x14ac:dyDescent="0.3">
      <c r="A486" s="69"/>
      <c r="B486" s="68"/>
      <c r="C486" s="68"/>
      <c r="D486" s="68"/>
      <c r="E486" s="68"/>
      <c r="F486" s="68"/>
      <c r="G486" s="68"/>
      <c r="H486" s="68"/>
      <c r="I486" s="68"/>
      <c r="J486" s="68"/>
      <c r="K486" s="68"/>
      <c r="L486" s="68"/>
      <c r="M486" s="68"/>
      <c r="N486" s="68"/>
      <c r="O486" s="68"/>
      <c r="P486" s="68"/>
      <c r="Q486" s="68"/>
      <c r="R486" s="68"/>
      <c r="S486" s="68"/>
      <c r="T486" s="68"/>
      <c r="U486" s="68"/>
      <c r="V486" s="68"/>
      <c r="W486" s="68"/>
      <c r="X486" s="68"/>
      <c r="Y486" s="68"/>
      <c r="Z486" s="68"/>
      <c r="AA486" s="68"/>
      <c r="AB486" s="68"/>
      <c r="AC486" s="68"/>
    </row>
    <row r="487" spans="1:29" x14ac:dyDescent="0.3">
      <c r="A487" s="69"/>
      <c r="B487" s="68"/>
      <c r="C487" s="68"/>
      <c r="D487" s="68"/>
      <c r="E487" s="68"/>
      <c r="F487" s="68"/>
      <c r="G487" s="68"/>
      <c r="H487" s="68"/>
      <c r="I487" s="68"/>
      <c r="J487" s="68"/>
      <c r="K487" s="68"/>
      <c r="L487" s="68"/>
      <c r="M487" s="68"/>
      <c r="N487" s="68"/>
      <c r="O487" s="68"/>
      <c r="P487" s="68"/>
      <c r="Q487" s="68"/>
      <c r="R487" s="68"/>
      <c r="S487" s="68"/>
      <c r="T487" s="68"/>
      <c r="U487" s="68"/>
      <c r="V487" s="68"/>
      <c r="W487" s="68"/>
      <c r="X487" s="68"/>
      <c r="Y487" s="68"/>
      <c r="Z487" s="68"/>
      <c r="AA487" s="68"/>
      <c r="AB487" s="68"/>
      <c r="AC487" s="68"/>
    </row>
    <row r="488" spans="1:29" x14ac:dyDescent="0.3">
      <c r="A488" s="69"/>
      <c r="B488" s="68"/>
      <c r="C488" s="68"/>
      <c r="D488" s="68"/>
      <c r="E488" s="68"/>
      <c r="F488" s="68"/>
      <c r="G488" s="68"/>
      <c r="H488" s="68"/>
      <c r="I488" s="68"/>
      <c r="J488" s="68"/>
      <c r="K488" s="68"/>
      <c r="L488" s="68"/>
      <c r="M488" s="68"/>
      <c r="N488" s="68"/>
      <c r="O488" s="68"/>
      <c r="P488" s="68"/>
      <c r="Q488" s="68"/>
      <c r="R488" s="68"/>
      <c r="S488" s="68"/>
      <c r="T488" s="68"/>
      <c r="U488" s="68"/>
      <c r="V488" s="68"/>
      <c r="W488" s="68"/>
      <c r="X488" s="68"/>
      <c r="Y488" s="68"/>
      <c r="Z488" s="68"/>
      <c r="AA488" s="68"/>
      <c r="AB488" s="68"/>
      <c r="AC488" s="68"/>
    </row>
    <row r="489" spans="1:29" x14ac:dyDescent="0.3">
      <c r="A489" s="69"/>
      <c r="B489" s="68"/>
      <c r="C489" s="68"/>
      <c r="D489" s="68"/>
      <c r="E489" s="68"/>
      <c r="F489" s="68"/>
      <c r="G489" s="68"/>
      <c r="H489" s="68"/>
      <c r="I489" s="68"/>
      <c r="J489" s="68"/>
      <c r="K489" s="68"/>
      <c r="L489" s="68"/>
      <c r="M489" s="68"/>
      <c r="N489" s="68"/>
      <c r="O489" s="68"/>
      <c r="P489" s="68"/>
      <c r="Q489" s="68"/>
      <c r="R489" s="68"/>
      <c r="S489" s="68"/>
      <c r="T489" s="68"/>
      <c r="U489" s="68"/>
      <c r="V489" s="68"/>
      <c r="W489" s="68"/>
      <c r="X489" s="68"/>
      <c r="Y489" s="68"/>
      <c r="Z489" s="68"/>
      <c r="AA489" s="68"/>
      <c r="AB489" s="68"/>
      <c r="AC489" s="68"/>
    </row>
    <row r="490" spans="1:29" x14ac:dyDescent="0.3">
      <c r="A490" s="69"/>
      <c r="B490" s="68"/>
      <c r="C490" s="68"/>
      <c r="D490" s="68"/>
      <c r="E490" s="68"/>
      <c r="F490" s="68"/>
      <c r="G490" s="68"/>
      <c r="H490" s="68"/>
      <c r="I490" s="68"/>
      <c r="J490" s="68"/>
      <c r="K490" s="68"/>
      <c r="L490" s="68"/>
      <c r="M490" s="68"/>
      <c r="N490" s="68"/>
      <c r="O490" s="68"/>
      <c r="P490" s="68"/>
      <c r="Q490" s="68"/>
      <c r="R490" s="68"/>
      <c r="S490" s="68"/>
      <c r="T490" s="68"/>
      <c r="U490" s="68"/>
      <c r="V490" s="68"/>
      <c r="W490" s="68"/>
      <c r="X490" s="68"/>
      <c r="Y490" s="68"/>
      <c r="Z490" s="68"/>
      <c r="AA490" s="68"/>
      <c r="AB490" s="68"/>
      <c r="AC490" s="68"/>
    </row>
    <row r="491" spans="1:29" x14ac:dyDescent="0.3">
      <c r="A491" s="69"/>
      <c r="B491" s="68"/>
      <c r="C491" s="68"/>
      <c r="D491" s="68"/>
      <c r="E491" s="68"/>
      <c r="F491" s="68"/>
      <c r="G491" s="68"/>
      <c r="H491" s="68"/>
      <c r="I491" s="68"/>
      <c r="J491" s="68"/>
      <c r="K491" s="68"/>
      <c r="L491" s="68"/>
      <c r="M491" s="68"/>
      <c r="N491" s="68"/>
      <c r="O491" s="68"/>
      <c r="P491" s="68"/>
      <c r="Q491" s="68"/>
      <c r="R491" s="68"/>
      <c r="S491" s="68"/>
      <c r="T491" s="68"/>
      <c r="U491" s="68"/>
      <c r="V491" s="68"/>
      <c r="W491" s="68"/>
      <c r="X491" s="68"/>
      <c r="Y491" s="68"/>
      <c r="Z491" s="68"/>
      <c r="AA491" s="68"/>
      <c r="AB491" s="68"/>
      <c r="AC491" s="68"/>
    </row>
    <row r="492" spans="1:29" x14ac:dyDescent="0.3">
      <c r="A492" s="69"/>
      <c r="B492" s="68"/>
      <c r="C492" s="68"/>
      <c r="D492" s="68"/>
      <c r="E492" s="68"/>
      <c r="F492" s="68"/>
      <c r="G492" s="68"/>
      <c r="H492" s="68"/>
      <c r="I492" s="68"/>
      <c r="J492" s="68"/>
      <c r="K492" s="68"/>
      <c r="L492" s="68"/>
      <c r="M492" s="68"/>
      <c r="N492" s="68"/>
      <c r="O492" s="68"/>
      <c r="P492" s="68"/>
      <c r="Q492" s="68"/>
      <c r="R492" s="68"/>
      <c r="S492" s="68"/>
      <c r="T492" s="68"/>
      <c r="U492" s="68"/>
      <c r="V492" s="68"/>
      <c r="W492" s="68"/>
      <c r="X492" s="68"/>
      <c r="Y492" s="68"/>
      <c r="Z492" s="68"/>
      <c r="AA492" s="68"/>
      <c r="AB492" s="68"/>
      <c r="AC492" s="68"/>
    </row>
    <row r="493" spans="1:29" x14ac:dyDescent="0.3">
      <c r="A493" s="69"/>
      <c r="B493" s="68"/>
      <c r="C493" s="68"/>
      <c r="D493" s="68"/>
      <c r="E493" s="68"/>
      <c r="F493" s="68"/>
      <c r="G493" s="68"/>
      <c r="H493" s="68"/>
      <c r="I493" s="68"/>
      <c r="J493" s="68"/>
      <c r="K493" s="68"/>
      <c r="L493" s="68"/>
      <c r="M493" s="68"/>
      <c r="N493" s="68"/>
      <c r="O493" s="68"/>
      <c r="P493" s="68"/>
      <c r="Q493" s="68"/>
      <c r="R493" s="68"/>
      <c r="S493" s="68"/>
      <c r="T493" s="68"/>
      <c r="U493" s="68"/>
      <c r="V493" s="68"/>
      <c r="W493" s="68"/>
      <c r="X493" s="68"/>
      <c r="Y493" s="68"/>
      <c r="Z493" s="68"/>
      <c r="AA493" s="68"/>
      <c r="AB493" s="68"/>
      <c r="AC493" s="68"/>
    </row>
    <row r="494" spans="1:29" x14ac:dyDescent="0.3">
      <c r="A494" s="69"/>
      <c r="B494" s="68"/>
      <c r="C494" s="68"/>
      <c r="D494" s="68"/>
      <c r="E494" s="68"/>
      <c r="F494" s="68"/>
      <c r="G494" s="68"/>
      <c r="H494" s="68"/>
      <c r="I494" s="68"/>
      <c r="J494" s="68"/>
      <c r="K494" s="68"/>
      <c r="L494" s="68"/>
      <c r="M494" s="68"/>
      <c r="N494" s="68"/>
      <c r="O494" s="68"/>
      <c r="P494" s="68"/>
      <c r="Q494" s="68"/>
      <c r="R494" s="68"/>
      <c r="S494" s="68"/>
      <c r="T494" s="68"/>
      <c r="U494" s="68"/>
      <c r="V494" s="68"/>
      <c r="W494" s="68"/>
      <c r="X494" s="68"/>
      <c r="Y494" s="68"/>
      <c r="Z494" s="68"/>
      <c r="AA494" s="68"/>
      <c r="AB494" s="68"/>
      <c r="AC494" s="68"/>
    </row>
    <row r="495" spans="1:29" x14ac:dyDescent="0.3">
      <c r="A495" s="69"/>
      <c r="B495" s="68"/>
      <c r="C495" s="68"/>
      <c r="D495" s="68"/>
      <c r="E495" s="68"/>
      <c r="F495" s="68"/>
      <c r="G495" s="68"/>
      <c r="H495" s="68"/>
      <c r="I495" s="68"/>
      <c r="J495" s="68"/>
      <c r="K495" s="68"/>
      <c r="L495" s="68"/>
      <c r="M495" s="68"/>
      <c r="N495" s="68"/>
      <c r="O495" s="68"/>
      <c r="P495" s="68"/>
      <c r="Q495" s="68"/>
      <c r="R495" s="68"/>
      <c r="S495" s="68"/>
      <c r="T495" s="68"/>
      <c r="U495" s="68"/>
      <c r="V495" s="68"/>
      <c r="W495" s="68"/>
      <c r="X495" s="68"/>
      <c r="Y495" s="68"/>
      <c r="Z495" s="68"/>
      <c r="AA495" s="68"/>
      <c r="AB495" s="68"/>
      <c r="AC495" s="68"/>
    </row>
    <row r="496" spans="1:29" x14ac:dyDescent="0.3">
      <c r="A496" s="69"/>
      <c r="B496" s="68"/>
      <c r="C496" s="68"/>
      <c r="D496" s="68"/>
      <c r="E496" s="68"/>
      <c r="F496" s="68"/>
      <c r="G496" s="68"/>
      <c r="H496" s="68"/>
      <c r="I496" s="68"/>
      <c r="J496" s="68"/>
      <c r="K496" s="68"/>
      <c r="L496" s="68"/>
      <c r="M496" s="68"/>
      <c r="N496" s="68"/>
      <c r="O496" s="68"/>
      <c r="P496" s="68"/>
      <c r="Q496" s="68"/>
      <c r="R496" s="68"/>
      <c r="S496" s="68"/>
      <c r="T496" s="68"/>
      <c r="U496" s="68"/>
      <c r="V496" s="68"/>
      <c r="W496" s="68"/>
      <c r="X496" s="68"/>
      <c r="Y496" s="68"/>
      <c r="Z496" s="68"/>
      <c r="AA496" s="68"/>
      <c r="AB496" s="68"/>
      <c r="AC496" s="68"/>
    </row>
    <row r="497" spans="1:29" x14ac:dyDescent="0.3">
      <c r="A497" s="69"/>
      <c r="B497" s="68"/>
      <c r="C497" s="68"/>
      <c r="D497" s="68"/>
      <c r="E497" s="68"/>
      <c r="F497" s="68"/>
      <c r="G497" s="68"/>
      <c r="H497" s="68"/>
      <c r="I497" s="68"/>
      <c r="J497" s="68"/>
      <c r="K497" s="68"/>
      <c r="L497" s="68"/>
      <c r="M497" s="68"/>
      <c r="N497" s="68"/>
      <c r="O497" s="68"/>
      <c r="P497" s="68"/>
      <c r="Q497" s="68"/>
      <c r="R497" s="68"/>
      <c r="S497" s="68"/>
      <c r="T497" s="68"/>
      <c r="U497" s="68"/>
      <c r="V497" s="68"/>
      <c r="W497" s="68"/>
      <c r="X497" s="68"/>
      <c r="Y497" s="68"/>
      <c r="Z497" s="68"/>
      <c r="AA497" s="68"/>
      <c r="AB497" s="68"/>
      <c r="AC497" s="68"/>
    </row>
    <row r="498" spans="1:29" x14ac:dyDescent="0.3">
      <c r="A498" s="69"/>
      <c r="B498" s="68"/>
      <c r="C498" s="68"/>
      <c r="D498" s="68"/>
      <c r="E498" s="68"/>
      <c r="F498" s="68"/>
      <c r="G498" s="68"/>
      <c r="H498" s="68"/>
      <c r="I498" s="68"/>
      <c r="J498" s="68"/>
      <c r="K498" s="68"/>
      <c r="L498" s="68"/>
      <c r="M498" s="68"/>
      <c r="N498" s="68"/>
      <c r="O498" s="68"/>
      <c r="P498" s="68"/>
      <c r="Q498" s="68"/>
      <c r="R498" s="68"/>
      <c r="S498" s="68"/>
      <c r="T498" s="68"/>
      <c r="U498" s="68"/>
      <c r="V498" s="68"/>
      <c r="W498" s="68"/>
      <c r="X498" s="68"/>
      <c r="Y498" s="68"/>
      <c r="Z498" s="68"/>
      <c r="AA498" s="68"/>
      <c r="AB498" s="68"/>
      <c r="AC498" s="68"/>
    </row>
    <row r="499" spans="1:29" x14ac:dyDescent="0.3">
      <c r="A499" s="69"/>
      <c r="B499" s="68"/>
      <c r="C499" s="68"/>
      <c r="D499" s="68"/>
      <c r="E499" s="68"/>
      <c r="F499" s="68"/>
      <c r="G499" s="68"/>
      <c r="H499" s="68"/>
      <c r="I499" s="68"/>
      <c r="J499" s="68"/>
      <c r="K499" s="68"/>
      <c r="L499" s="68"/>
      <c r="M499" s="68"/>
      <c r="N499" s="68"/>
      <c r="O499" s="68"/>
      <c r="P499" s="68"/>
      <c r="Q499" s="68"/>
      <c r="R499" s="68"/>
      <c r="S499" s="68"/>
      <c r="T499" s="68"/>
      <c r="U499" s="68"/>
      <c r="V499" s="68"/>
      <c r="W499" s="68"/>
      <c r="X499" s="68"/>
      <c r="Y499" s="68"/>
      <c r="Z499" s="68"/>
      <c r="AA499" s="68"/>
      <c r="AB499" s="68"/>
      <c r="AC499" s="68"/>
    </row>
    <row r="500" spans="1:29" x14ac:dyDescent="0.3">
      <c r="A500" s="69"/>
      <c r="B500" s="68"/>
      <c r="C500" s="68"/>
      <c r="D500" s="68"/>
      <c r="E500" s="68"/>
      <c r="F500" s="68"/>
      <c r="G500" s="68"/>
      <c r="H500" s="68"/>
      <c r="I500" s="68"/>
      <c r="J500" s="68"/>
      <c r="K500" s="68"/>
      <c r="L500" s="68"/>
      <c r="M500" s="68"/>
      <c r="N500" s="68"/>
      <c r="O500" s="68"/>
      <c r="P500" s="68"/>
      <c r="Q500" s="68"/>
      <c r="R500" s="68"/>
      <c r="S500" s="68"/>
      <c r="T500" s="68"/>
      <c r="U500" s="68"/>
      <c r="V500" s="68"/>
      <c r="W500" s="68"/>
      <c r="X500" s="68"/>
      <c r="Y500" s="68"/>
      <c r="Z500" s="68"/>
      <c r="AA500" s="68"/>
      <c r="AB500" s="68"/>
      <c r="AC500" s="68"/>
    </row>
  </sheetData>
  <sheetProtection algorithmName="SHA-512" hashValue="n5giW8c4C2LCRhFxLPlmga2ItXi88Xoq5dIEn239E5H8uo/0lvWZfH+hKA3SZ/dRIEVMgUyhNB62X+sEQVLTxA==" saltValue="23FJ+Qyhf47d27wZNhbg1A==" spinCount="100000" sheet="1" objects="1" scenarios="1" autoFilter="0"/>
  <autoFilter ref="A23:AC23" xr:uid="{B4E8CDDB-A28E-4FFD-B83D-45BE56084C8F}">
    <filterColumn colId="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</autoFilter>
  <mergeCells count="144">
    <mergeCell ref="A48:B48"/>
    <mergeCell ref="A49:B49"/>
    <mergeCell ref="A42:B42"/>
    <mergeCell ref="A43:B43"/>
    <mergeCell ref="A44:B44"/>
    <mergeCell ref="A45:B45"/>
    <mergeCell ref="A46:B46"/>
    <mergeCell ref="A47:B47"/>
    <mergeCell ref="A36:B36"/>
    <mergeCell ref="A37:B37"/>
    <mergeCell ref="A38:B38"/>
    <mergeCell ref="A39:B39"/>
    <mergeCell ref="A40:B40"/>
    <mergeCell ref="A41:B41"/>
    <mergeCell ref="A30:B30"/>
    <mergeCell ref="A31:B31"/>
    <mergeCell ref="A32:B32"/>
    <mergeCell ref="A33:B33"/>
    <mergeCell ref="A34:B34"/>
    <mergeCell ref="A35:B35"/>
    <mergeCell ref="A24:B24"/>
    <mergeCell ref="A25:B25"/>
    <mergeCell ref="A26:B26"/>
    <mergeCell ref="A27:B27"/>
    <mergeCell ref="A28:B28"/>
    <mergeCell ref="A29:B29"/>
    <mergeCell ref="E19:F19"/>
    <mergeCell ref="G19:H19"/>
    <mergeCell ref="I19:J19"/>
    <mergeCell ref="A21:R21"/>
    <mergeCell ref="A23:B23"/>
    <mergeCell ref="L23:R23"/>
    <mergeCell ref="E17:F17"/>
    <mergeCell ref="G17:H17"/>
    <mergeCell ref="I17:J17"/>
    <mergeCell ref="E18:F18"/>
    <mergeCell ref="G18:H18"/>
    <mergeCell ref="I18:J18"/>
    <mergeCell ref="L18:M18"/>
    <mergeCell ref="L19:M19"/>
    <mergeCell ref="L100:R100"/>
    <mergeCell ref="E14:F14"/>
    <mergeCell ref="G14:H14"/>
    <mergeCell ref="I14:J14"/>
    <mergeCell ref="E15:F15"/>
    <mergeCell ref="G15:H15"/>
    <mergeCell ref="I15:J15"/>
    <mergeCell ref="E16:F16"/>
    <mergeCell ref="G16:H16"/>
    <mergeCell ref="I16:J16"/>
    <mergeCell ref="L94:R94"/>
    <mergeCell ref="L95:R95"/>
    <mergeCell ref="L96:R96"/>
    <mergeCell ref="L97:R97"/>
    <mergeCell ref="L98:R98"/>
    <mergeCell ref="L99:R99"/>
    <mergeCell ref="L88:R88"/>
    <mergeCell ref="L89:R89"/>
    <mergeCell ref="L90:R90"/>
    <mergeCell ref="L91:R91"/>
    <mergeCell ref="L92:R92"/>
    <mergeCell ref="L93:R93"/>
    <mergeCell ref="L82:R82"/>
    <mergeCell ref="L83:R83"/>
    <mergeCell ref="L84:R84"/>
    <mergeCell ref="L85:R85"/>
    <mergeCell ref="L86:R86"/>
    <mergeCell ref="L87:R87"/>
    <mergeCell ref="L76:R76"/>
    <mergeCell ref="L77:R77"/>
    <mergeCell ref="L78:R78"/>
    <mergeCell ref="L79:R79"/>
    <mergeCell ref="L80:R80"/>
    <mergeCell ref="L81:R81"/>
    <mergeCell ref="L70:R70"/>
    <mergeCell ref="L71:R71"/>
    <mergeCell ref="L72:R72"/>
    <mergeCell ref="L73:R73"/>
    <mergeCell ref="L74:R74"/>
    <mergeCell ref="L75:R75"/>
    <mergeCell ref="L64:R64"/>
    <mergeCell ref="L65:R65"/>
    <mergeCell ref="L66:R66"/>
    <mergeCell ref="L67:R67"/>
    <mergeCell ref="L68:R68"/>
    <mergeCell ref="L69:R69"/>
    <mergeCell ref="L58:R58"/>
    <mergeCell ref="L59:R59"/>
    <mergeCell ref="L60:R60"/>
    <mergeCell ref="L61:R61"/>
    <mergeCell ref="L62:R62"/>
    <mergeCell ref="L63:R63"/>
    <mergeCell ref="L52:R52"/>
    <mergeCell ref="L53:R53"/>
    <mergeCell ref="L54:R54"/>
    <mergeCell ref="L55:R55"/>
    <mergeCell ref="L56:R56"/>
    <mergeCell ref="L57:R57"/>
    <mergeCell ref="L46:R46"/>
    <mergeCell ref="L47:R47"/>
    <mergeCell ref="L48:R48"/>
    <mergeCell ref="L49:R49"/>
    <mergeCell ref="L50:R50"/>
    <mergeCell ref="L51:R51"/>
    <mergeCell ref="L40:R40"/>
    <mergeCell ref="L41:R41"/>
    <mergeCell ref="L42:R42"/>
    <mergeCell ref="L43:R43"/>
    <mergeCell ref="L44:R44"/>
    <mergeCell ref="L45:R45"/>
    <mergeCell ref="L34:R34"/>
    <mergeCell ref="L35:R35"/>
    <mergeCell ref="L36:R36"/>
    <mergeCell ref="L37:R37"/>
    <mergeCell ref="L38:R38"/>
    <mergeCell ref="L39:R39"/>
    <mergeCell ref="L28:R28"/>
    <mergeCell ref="L29:R29"/>
    <mergeCell ref="L30:R30"/>
    <mergeCell ref="L31:R31"/>
    <mergeCell ref="L32:R32"/>
    <mergeCell ref="L33:R33"/>
    <mergeCell ref="L24:R24"/>
    <mergeCell ref="L25:R25"/>
    <mergeCell ref="L26:R26"/>
    <mergeCell ref="L27:R27"/>
    <mergeCell ref="L12:M12"/>
    <mergeCell ref="L13:M13"/>
    <mergeCell ref="L14:M14"/>
    <mergeCell ref="L15:M15"/>
    <mergeCell ref="L16:M16"/>
    <mergeCell ref="L17:M17"/>
    <mergeCell ref="L6:M6"/>
    <mergeCell ref="L7:M7"/>
    <mergeCell ref="L8:M8"/>
    <mergeCell ref="L9:M9"/>
    <mergeCell ref="L10:M10"/>
    <mergeCell ref="L11:M11"/>
    <mergeCell ref="A1:D1"/>
    <mergeCell ref="J1:K1"/>
    <mergeCell ref="O1:Q1"/>
    <mergeCell ref="L3:R3"/>
    <mergeCell ref="L4:M4"/>
    <mergeCell ref="L5:M5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8B7A96-E367-498F-AD05-15CEE9F6A2C7}">
          <x14:formula1>
            <xm:f>Tavo_Ennuste!$A$2:$A$492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1C4B1-E6D4-4A39-889E-B0C02DDD5876}">
  <sheetPr codeName="Taul9"/>
  <dimension ref="A1:L26"/>
  <sheetViews>
    <sheetView showGridLines="0" showRowColHeaders="0" workbookViewId="0">
      <selection activeCell="J25" sqref="J25"/>
    </sheetView>
  </sheetViews>
  <sheetFormatPr defaultRowHeight="14.4" x14ac:dyDescent="0.3"/>
  <cols>
    <col min="1" max="1" width="15.21875" bestFit="1" customWidth="1"/>
    <col min="2" max="3" width="10.33203125" style="44" bestFit="1" customWidth="1"/>
    <col min="4" max="4" width="12.88671875" style="44" bestFit="1" customWidth="1"/>
    <col min="5" max="5" width="10.6640625" style="44" bestFit="1" customWidth="1"/>
    <col min="6" max="6" width="13.77734375" style="29" bestFit="1" customWidth="1"/>
    <col min="7" max="7" width="22.33203125" style="44" bestFit="1" customWidth="1"/>
    <col min="8" max="8" width="26.5546875" style="29" bestFit="1" customWidth="1"/>
    <col min="9" max="9" width="19.88671875" style="29" bestFit="1" customWidth="1"/>
    <col min="10" max="10" width="24.77734375" style="29" bestFit="1" customWidth="1"/>
    <col min="11" max="11" width="11.88671875" style="44" bestFit="1" customWidth="1"/>
    <col min="12" max="12" width="4.44140625" style="17" bestFit="1" customWidth="1"/>
  </cols>
  <sheetData>
    <row r="1" spans="1:12" ht="19.95" customHeight="1" x14ac:dyDescent="0.45">
      <c r="A1" s="93" t="s">
        <v>609</v>
      </c>
      <c r="B1" s="94" t="s">
        <v>771</v>
      </c>
      <c r="C1" s="94" t="s">
        <v>590</v>
      </c>
      <c r="D1" s="94" t="s">
        <v>772</v>
      </c>
      <c r="E1" s="94" t="s">
        <v>789</v>
      </c>
      <c r="F1" s="95" t="s">
        <v>790</v>
      </c>
      <c r="G1" s="94" t="s">
        <v>791</v>
      </c>
      <c r="H1" s="95" t="s">
        <v>792</v>
      </c>
      <c r="I1" s="95" t="s">
        <v>793</v>
      </c>
      <c r="J1" s="95" t="s">
        <v>794</v>
      </c>
      <c r="K1" s="94" t="s">
        <v>773</v>
      </c>
      <c r="L1" s="96" t="s">
        <v>611</v>
      </c>
    </row>
    <row r="2" spans="1:12" x14ac:dyDescent="0.3">
      <c r="A2" s="30" t="s">
        <v>775</v>
      </c>
      <c r="B2" s="34">
        <v>1211105</v>
      </c>
      <c r="C2" s="34">
        <v>1211105</v>
      </c>
      <c r="D2" s="34">
        <v>65221.22</v>
      </c>
      <c r="E2" s="34">
        <v>0</v>
      </c>
      <c r="F2" s="37">
        <v>0</v>
      </c>
      <c r="G2" s="34">
        <v>1095255</v>
      </c>
      <c r="H2" s="37">
        <v>5.3852655219819918E-2</v>
      </c>
      <c r="I2" s="37">
        <v>5.385197528703127E-2</v>
      </c>
      <c r="J2" s="37">
        <v>0</v>
      </c>
      <c r="K2" s="34">
        <v>65220.396530000005</v>
      </c>
      <c r="L2" s="40">
        <v>0.99998737420121864</v>
      </c>
    </row>
    <row r="3" spans="1:12" x14ac:dyDescent="0.3">
      <c r="A3" s="31" t="s">
        <v>776</v>
      </c>
      <c r="B3" s="35">
        <v>312308.05222000001</v>
      </c>
      <c r="C3" s="35">
        <v>325486.3641539255</v>
      </c>
      <c r="D3" s="35">
        <v>225830.68</v>
      </c>
      <c r="E3" s="35">
        <v>-13178.311933925492</v>
      </c>
      <c r="F3" s="38">
        <v>-4.2196516677201319E-2</v>
      </c>
      <c r="G3" s="35">
        <v>293915.92086192552</v>
      </c>
      <c r="H3" s="38">
        <v>0.69382531765048872</v>
      </c>
      <c r="I3" s="38">
        <v>0.69382488263457809</v>
      </c>
      <c r="J3" s="38">
        <v>0</v>
      </c>
      <c r="K3" s="35">
        <v>225830.53840825291</v>
      </c>
      <c r="L3" s="41">
        <v>0.99999937301810771</v>
      </c>
    </row>
    <row r="4" spans="1:12" x14ac:dyDescent="0.3">
      <c r="A4" s="32" t="s">
        <v>777</v>
      </c>
      <c r="B4" s="36">
        <v>226970.49675499997</v>
      </c>
      <c r="C4" s="36">
        <v>242519.33783539973</v>
      </c>
      <c r="D4" s="36">
        <v>158281.18</v>
      </c>
      <c r="E4" s="36">
        <v>-15548.841080399754</v>
      </c>
      <c r="F4" s="39">
        <v>-6.8506001012033413E-2</v>
      </c>
      <c r="G4" s="36">
        <v>201152.47578739974</v>
      </c>
      <c r="H4" s="39">
        <v>0.65265385190613956</v>
      </c>
      <c r="I4" s="39">
        <v>0.65265368397390588</v>
      </c>
      <c r="J4" s="39">
        <v>0.38907446400925511</v>
      </c>
      <c r="K4" s="36">
        <v>158281.13927318589</v>
      </c>
      <c r="L4" s="42">
        <v>0.99999974269326208</v>
      </c>
    </row>
    <row r="5" spans="1:12" x14ac:dyDescent="0.3">
      <c r="A5" s="31" t="s">
        <v>778</v>
      </c>
      <c r="B5" s="35">
        <v>789263.76293700002</v>
      </c>
      <c r="C5" s="35">
        <v>776769.67644847266</v>
      </c>
      <c r="D5" s="35">
        <v>195526.52000000002</v>
      </c>
      <c r="E5" s="35">
        <v>12494.086488527362</v>
      </c>
      <c r="F5" s="38">
        <v>1.5830052100750829E-2</v>
      </c>
      <c r="G5" s="35">
        <v>737603.14451447269</v>
      </c>
      <c r="H5" s="38">
        <v>0.25171749867216958</v>
      </c>
      <c r="I5" s="38">
        <v>0.22687621539400868</v>
      </c>
      <c r="J5" s="38">
        <v>1.8878138607874944E-2</v>
      </c>
      <c r="K5" s="35">
        <v>176230.56442545811</v>
      </c>
      <c r="L5" s="41">
        <v>0.90131284710359549</v>
      </c>
    </row>
    <row r="6" spans="1:12" x14ac:dyDescent="0.3">
      <c r="A6" s="32" t="s">
        <v>779</v>
      </c>
      <c r="B6" s="36">
        <v>451144.66293799999</v>
      </c>
      <c r="C6" s="36">
        <v>449820.25289548549</v>
      </c>
      <c r="D6" s="36">
        <v>16020.68</v>
      </c>
      <c r="E6" s="36">
        <v>1324.4100425145007</v>
      </c>
      <c r="F6" s="39">
        <v>2.935665987688991E-3</v>
      </c>
      <c r="G6" s="36">
        <v>317884.2340764855</v>
      </c>
      <c r="H6" s="39">
        <v>3.5615737390380153E-2</v>
      </c>
      <c r="I6" s="39">
        <v>3.5615722332843706E-2</v>
      </c>
      <c r="J6" s="39">
        <v>0</v>
      </c>
      <c r="K6" s="36">
        <v>16020.673226815146</v>
      </c>
      <c r="L6" s="42">
        <v>0.99999957722238664</v>
      </c>
    </row>
    <row r="7" spans="1:12" x14ac:dyDescent="0.3">
      <c r="A7" s="31" t="s">
        <v>780</v>
      </c>
      <c r="B7" s="35">
        <v>632394.65168899996</v>
      </c>
      <c r="C7" s="35">
        <v>633468.00352815434</v>
      </c>
      <c r="D7" s="35">
        <v>0</v>
      </c>
      <c r="E7" s="35">
        <v>-1073.3518391543766</v>
      </c>
      <c r="F7" s="38">
        <v>-1.6972816520311612E-3</v>
      </c>
      <c r="G7" s="35">
        <v>400911.44446715445</v>
      </c>
      <c r="H7" s="38">
        <v>0</v>
      </c>
      <c r="I7" s="38">
        <v>0</v>
      </c>
      <c r="J7" s="38">
        <v>0</v>
      </c>
      <c r="K7" s="35">
        <v>0</v>
      </c>
      <c r="L7" s="41">
        <v>0</v>
      </c>
    </row>
    <row r="8" spans="1:12" x14ac:dyDescent="0.3">
      <c r="A8" s="32" t="s">
        <v>781</v>
      </c>
      <c r="B8" s="36">
        <v>286671.84453300002</v>
      </c>
      <c r="C8" s="36">
        <v>286671.84453300002</v>
      </c>
      <c r="D8" s="36">
        <v>0</v>
      </c>
      <c r="E8" s="36">
        <v>0</v>
      </c>
      <c r="F8" s="39">
        <v>0</v>
      </c>
      <c r="G8" s="36">
        <v>196046.4</v>
      </c>
      <c r="H8" s="39">
        <v>0</v>
      </c>
      <c r="I8" s="39">
        <v>0</v>
      </c>
      <c r="J8" s="39">
        <v>0</v>
      </c>
      <c r="K8" s="36">
        <v>0</v>
      </c>
      <c r="L8" s="42">
        <v>0</v>
      </c>
    </row>
    <row r="9" spans="1:12" x14ac:dyDescent="0.3">
      <c r="A9" s="31" t="s">
        <v>782</v>
      </c>
      <c r="B9" s="35">
        <v>756053</v>
      </c>
      <c r="C9" s="35">
        <v>756053</v>
      </c>
      <c r="D9" s="35">
        <v>9820</v>
      </c>
      <c r="E9" s="35">
        <v>0</v>
      </c>
      <c r="F9" s="38">
        <v>0</v>
      </c>
      <c r="G9" s="35">
        <v>0</v>
      </c>
      <c r="H9" s="38">
        <v>1.2988507419453399E-2</v>
      </c>
      <c r="I9" s="38">
        <v>1.2988152946949487E-2</v>
      </c>
      <c r="J9" s="38">
        <v>0</v>
      </c>
      <c r="K9" s="35">
        <v>9819.732</v>
      </c>
      <c r="L9" s="41">
        <v>0.99997270875763744</v>
      </c>
    </row>
    <row r="10" spans="1:12" x14ac:dyDescent="0.3">
      <c r="A10" s="32" t="s">
        <v>783</v>
      </c>
      <c r="B10" s="36">
        <v>364039.45452799997</v>
      </c>
      <c r="C10" s="36">
        <v>371039.45387708512</v>
      </c>
      <c r="D10" s="36">
        <v>56129.462000000007</v>
      </c>
      <c r="E10" s="36">
        <v>-6999.9993490851484</v>
      </c>
      <c r="F10" s="39">
        <v>-1.9228683215562686E-2</v>
      </c>
      <c r="G10" s="36">
        <v>349673.45387708512</v>
      </c>
      <c r="H10" s="39">
        <v>0.15127626297820637</v>
      </c>
      <c r="I10" s="39">
        <v>9.7582203061669648E-2</v>
      </c>
      <c r="J10" s="39">
        <v>2.5678985065753175E-2</v>
      </c>
      <c r="K10" s="36">
        <v>36206.847332124729</v>
      </c>
      <c r="L10" s="42">
        <v>0.6450595826506359</v>
      </c>
    </row>
    <row r="11" spans="1:12" x14ac:dyDescent="0.3">
      <c r="A11" s="31" t="s">
        <v>784</v>
      </c>
      <c r="B11" s="35">
        <v>343614.31277900003</v>
      </c>
      <c r="C11" s="35">
        <v>338614.31277800002</v>
      </c>
      <c r="D11" s="35">
        <v>47567.377</v>
      </c>
      <c r="E11" s="35">
        <v>5000.0000010000076</v>
      </c>
      <c r="F11" s="38">
        <v>1.4551198291369841E-2</v>
      </c>
      <c r="G11" s="35">
        <v>75458</v>
      </c>
      <c r="H11" s="38">
        <v>0.14047656937403527</v>
      </c>
      <c r="I11" s="38">
        <v>0.13926136979171799</v>
      </c>
      <c r="J11" s="38">
        <v>8.1846855204219561E-3</v>
      </c>
      <c r="K11" s="35">
        <v>47155.893028545521</v>
      </c>
      <c r="L11" s="41">
        <v>0.99134945003474795</v>
      </c>
    </row>
    <row r="12" spans="1:12" x14ac:dyDescent="0.3">
      <c r="A12" s="45" t="s">
        <v>795</v>
      </c>
      <c r="B12" s="33">
        <f>SUM(B2:B11)</f>
        <v>5373565.2383790007</v>
      </c>
      <c r="C12" s="33">
        <f>SUM(C2:C11)</f>
        <v>5391547.2460495224</v>
      </c>
      <c r="D12" s="33">
        <f>SUM(D2:D11)</f>
        <v>774397.11900000018</v>
      </c>
      <c r="E12" s="33">
        <f>SUM(E2:E11)</f>
        <v>-17982.0076705229</v>
      </c>
      <c r="F12" s="46">
        <f>IF(B12&lt;&gt;0,E12/B12,0)</f>
        <v>-3.3463830572097761E-3</v>
      </c>
      <c r="G12" s="33">
        <f>SUM(G2:G11)</f>
        <v>3667900.0735845231</v>
      </c>
      <c r="H12" s="46">
        <f>IF(C12&lt;&gt;0,G12/C12,0)</f>
        <v>0.68030565368263352</v>
      </c>
      <c r="I12" s="46">
        <f>IF(C12&lt;&gt;0,D12/C12,0)</f>
        <v>0.1436317041582848</v>
      </c>
      <c r="J12" s="46">
        <f>IF(C12&lt;&gt;0,K12/C12,0)</f>
        <v>0.13628106194613385</v>
      </c>
      <c r="K12" s="33">
        <f>SUM(K2:K11)</f>
        <v>734765.78422438225</v>
      </c>
      <c r="L12" s="47">
        <f>IF(D12&lt;&gt;0,K12/D12,0)</f>
        <v>0.94882298267483878</v>
      </c>
    </row>
    <row r="13" spans="1:12" ht="19.95" customHeight="1" x14ac:dyDescent="0.45">
      <c r="A13" s="119" t="s">
        <v>796</v>
      </c>
      <c r="B13" s="119"/>
      <c r="C13" s="119"/>
      <c r="D13" s="119"/>
      <c r="J13" s="55" t="s">
        <v>883</v>
      </c>
    </row>
    <row r="14" spans="1:12" ht="16.8" x14ac:dyDescent="0.4">
      <c r="A14" s="53"/>
      <c r="B14" s="54"/>
      <c r="C14" s="54"/>
      <c r="D14" s="54"/>
    </row>
    <row r="15" spans="1:12" ht="16.8" x14ac:dyDescent="0.4">
      <c r="A15" s="53"/>
      <c r="B15" s="54"/>
      <c r="C15" s="54"/>
      <c r="D15" s="54"/>
    </row>
    <row r="16" spans="1:12" ht="16.8" x14ac:dyDescent="0.4">
      <c r="A16" s="53"/>
      <c r="B16" s="54"/>
      <c r="C16" s="54"/>
      <c r="D16" s="54"/>
    </row>
    <row r="17" spans="1:12" ht="16.8" x14ac:dyDescent="0.4">
      <c r="A17" s="53"/>
      <c r="B17" s="54"/>
      <c r="C17" s="54"/>
      <c r="D17" s="54"/>
    </row>
    <row r="18" spans="1:12" x14ac:dyDescent="0.3">
      <c r="A18" s="51" t="s">
        <v>732</v>
      </c>
      <c r="B18" s="52"/>
      <c r="C18" s="52"/>
      <c r="D18" s="52"/>
    </row>
    <row r="19" spans="1:12" x14ac:dyDescent="0.3">
      <c r="A19" s="48" t="s">
        <v>795</v>
      </c>
      <c r="B19" s="48">
        <f>SUM(B14:B18)+B12</f>
        <v>5373565.2383790007</v>
      </c>
      <c r="C19" s="48">
        <f>SUM(C14:C18)+C12</f>
        <v>5391547.2460495224</v>
      </c>
      <c r="D19" s="48">
        <f>SUM(D14:D18)+D12</f>
        <v>774397.11900000018</v>
      </c>
      <c r="E19" s="48"/>
      <c r="F19" s="49"/>
      <c r="G19" s="48"/>
      <c r="H19" s="49"/>
      <c r="I19" s="49"/>
      <c r="J19" s="49"/>
      <c r="K19" s="48"/>
      <c r="L19" s="50"/>
    </row>
    <row r="22" spans="1:12" ht="19.2" x14ac:dyDescent="0.45">
      <c r="F22" s="120" t="s">
        <v>774</v>
      </c>
      <c r="G22" s="120"/>
      <c r="H22" s="120"/>
      <c r="I22" s="120"/>
    </row>
    <row r="23" spans="1:12" x14ac:dyDescent="0.3">
      <c r="F23" s="112" t="s">
        <v>785</v>
      </c>
      <c r="G23" s="112"/>
      <c r="H23" s="113"/>
      <c r="I23" s="114"/>
    </row>
    <row r="24" spans="1:12" x14ac:dyDescent="0.3">
      <c r="F24" s="112" t="s">
        <v>786</v>
      </c>
      <c r="G24" s="112"/>
      <c r="H24" s="115">
        <v>7.0000000000000007E-2</v>
      </c>
      <c r="I24" s="116"/>
    </row>
    <row r="25" spans="1:12" x14ac:dyDescent="0.3">
      <c r="F25" s="112" t="s">
        <v>787</v>
      </c>
      <c r="G25" s="112"/>
      <c r="H25" s="117">
        <f>H23*H24</f>
        <v>0</v>
      </c>
      <c r="I25" s="118"/>
    </row>
    <row r="26" spans="1:12" x14ac:dyDescent="0.3">
      <c r="F26" s="112" t="s">
        <v>788</v>
      </c>
      <c r="G26" s="112"/>
      <c r="H26" s="117">
        <f>H23+H25</f>
        <v>0</v>
      </c>
      <c r="I26" s="118"/>
    </row>
  </sheetData>
  <mergeCells count="10">
    <mergeCell ref="A13:D13"/>
    <mergeCell ref="F22:I22"/>
    <mergeCell ref="F23:G23"/>
    <mergeCell ref="F24:G24"/>
    <mergeCell ref="F25:G25"/>
    <mergeCell ref="F26:G26"/>
    <mergeCell ref="H23:I23"/>
    <mergeCell ref="H24:I24"/>
    <mergeCell ref="H25:I25"/>
    <mergeCell ref="H26:I2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61244-60DB-4BA3-ADDB-9A7B640B9AB0}">
  <sheetPr codeName="Taul5"/>
  <dimension ref="A1:R465"/>
  <sheetViews>
    <sheetView showGridLines="0" topLeftCell="A436" workbookViewId="0">
      <selection activeCell="A468" sqref="A468"/>
    </sheetView>
  </sheetViews>
  <sheetFormatPr defaultColWidth="4.88671875" defaultRowHeight="14.4" x14ac:dyDescent="0.3"/>
  <cols>
    <col min="1" max="1" width="17.88671875" style="19" bestFit="1" customWidth="1"/>
    <col min="2" max="2" width="8.5546875" bestFit="1" customWidth="1"/>
    <col min="3" max="3" width="22.5546875" bestFit="1" customWidth="1"/>
    <col min="4" max="4" width="13.6640625" style="13" bestFit="1" customWidth="1"/>
    <col min="5" max="5" width="10.77734375" bestFit="1" customWidth="1"/>
    <col min="6" max="6" width="10.5546875" bestFit="1" customWidth="1"/>
    <col min="7" max="7" width="10.44140625" bestFit="1" customWidth="1"/>
    <col min="8" max="8" width="21.5546875" style="29" bestFit="1" customWidth="1"/>
    <col min="9" max="9" width="25.21875" style="29" bestFit="1" customWidth="1"/>
    <col min="10" max="10" width="11" style="17" customWidth="1"/>
    <col min="11" max="16" width="10.6640625" bestFit="1" customWidth="1"/>
    <col min="17" max="17" width="13.44140625" bestFit="1" customWidth="1"/>
  </cols>
  <sheetData>
    <row r="1" spans="1:17" x14ac:dyDescent="0.3">
      <c r="A1" s="18" t="s">
        <v>747</v>
      </c>
      <c r="B1" s="12" t="s">
        <v>748</v>
      </c>
      <c r="C1" s="12" t="s">
        <v>749</v>
      </c>
      <c r="D1" s="14" t="s">
        <v>753</v>
      </c>
      <c r="E1" s="12" t="s">
        <v>750</v>
      </c>
      <c r="F1" s="12" t="s">
        <v>751</v>
      </c>
      <c r="G1" s="12" t="s">
        <v>752</v>
      </c>
      <c r="H1" s="15" t="s">
        <v>755</v>
      </c>
      <c r="I1" s="15" t="s">
        <v>756</v>
      </c>
      <c r="J1" s="16" t="s">
        <v>611</v>
      </c>
      <c r="K1" s="12" t="s">
        <v>768</v>
      </c>
      <c r="L1" s="12" t="s">
        <v>768</v>
      </c>
      <c r="M1" s="12" t="s">
        <v>768</v>
      </c>
      <c r="N1" s="12" t="s">
        <v>768</v>
      </c>
      <c r="O1" s="12" t="s">
        <v>768</v>
      </c>
      <c r="P1" s="12" t="s">
        <v>768</v>
      </c>
      <c r="Q1" s="12" t="s">
        <v>767</v>
      </c>
    </row>
    <row r="2" spans="1:17" x14ac:dyDescent="0.3">
      <c r="A2" s="19">
        <v>45771.389317129629</v>
      </c>
      <c r="B2" s="43" t="s">
        <v>35</v>
      </c>
      <c r="C2" s="43" t="s">
        <v>740</v>
      </c>
      <c r="D2" s="43">
        <v>0</v>
      </c>
      <c r="H2" s="29">
        <v>1</v>
      </c>
      <c r="I2" s="29">
        <v>0.99902199999999997</v>
      </c>
      <c r="J2" s="17">
        <v>0</v>
      </c>
    </row>
    <row r="3" spans="1:17" x14ac:dyDescent="0.3">
      <c r="A3" s="19">
        <v>45771.389317129629</v>
      </c>
      <c r="B3" s="43" t="s">
        <v>35</v>
      </c>
      <c r="C3" s="43" t="s">
        <v>741</v>
      </c>
      <c r="D3" s="43">
        <v>0</v>
      </c>
      <c r="H3" s="29">
        <v>1</v>
      </c>
      <c r="I3" s="29">
        <v>0.99902199999999997</v>
      </c>
      <c r="J3" s="17">
        <v>0</v>
      </c>
    </row>
    <row r="4" spans="1:17" x14ac:dyDescent="0.3">
      <c r="A4" s="19">
        <v>45771.389317129629</v>
      </c>
      <c r="B4" s="43" t="s">
        <v>35</v>
      </c>
      <c r="C4" s="43" t="s">
        <v>742</v>
      </c>
      <c r="D4" s="43">
        <v>27173.4</v>
      </c>
      <c r="E4" t="s">
        <v>800</v>
      </c>
      <c r="H4" s="29">
        <v>1</v>
      </c>
      <c r="I4" s="29">
        <v>0.99902199999999997</v>
      </c>
      <c r="J4" s="17">
        <v>0</v>
      </c>
    </row>
    <row r="5" spans="1:17" x14ac:dyDescent="0.3">
      <c r="A5" s="19">
        <v>45771.389317129629</v>
      </c>
      <c r="B5" s="43" t="s">
        <v>35</v>
      </c>
      <c r="C5" s="43" t="s">
        <v>743</v>
      </c>
      <c r="D5" s="43">
        <v>0</v>
      </c>
      <c r="H5" s="29">
        <v>1</v>
      </c>
      <c r="I5" s="29">
        <v>0.99902199999999997</v>
      </c>
      <c r="J5" s="17">
        <v>0</v>
      </c>
    </row>
    <row r="6" spans="1:17" x14ac:dyDescent="0.3">
      <c r="A6" s="19">
        <v>45771.389317129629</v>
      </c>
      <c r="B6" s="43" t="s">
        <v>35</v>
      </c>
      <c r="C6" s="43" t="s">
        <v>744</v>
      </c>
      <c r="D6" s="43">
        <v>0</v>
      </c>
      <c r="H6" s="29">
        <v>1</v>
      </c>
      <c r="I6" s="29">
        <v>0.99902199999999997</v>
      </c>
      <c r="J6" s="17">
        <v>0</v>
      </c>
    </row>
    <row r="7" spans="1:17" x14ac:dyDescent="0.3">
      <c r="A7" s="19">
        <v>45771.389432870368</v>
      </c>
      <c r="B7" s="43" t="s">
        <v>35</v>
      </c>
      <c r="C7" s="43" t="s">
        <v>740</v>
      </c>
      <c r="D7" s="43">
        <v>0</v>
      </c>
      <c r="H7" s="29">
        <v>1</v>
      </c>
      <c r="I7" s="29">
        <v>0.99902199999999997</v>
      </c>
      <c r="J7" s="17">
        <v>0</v>
      </c>
    </row>
    <row r="8" spans="1:17" x14ac:dyDescent="0.3">
      <c r="A8" s="19">
        <v>45771.389432870368</v>
      </c>
      <c r="B8" s="43" t="s">
        <v>35</v>
      </c>
      <c r="C8" s="43" t="s">
        <v>741</v>
      </c>
      <c r="D8" s="43">
        <v>0</v>
      </c>
      <c r="H8" s="29">
        <v>1</v>
      </c>
      <c r="I8" s="29">
        <v>0.99902199999999997</v>
      </c>
      <c r="J8" s="17">
        <v>0</v>
      </c>
    </row>
    <row r="9" spans="1:17" x14ac:dyDescent="0.3">
      <c r="A9" s="19">
        <v>45771.389432870368</v>
      </c>
      <c r="B9" s="43" t="s">
        <v>35</v>
      </c>
      <c r="C9" s="43" t="s">
        <v>742</v>
      </c>
      <c r="D9" s="43">
        <v>27173.4</v>
      </c>
      <c r="E9" t="s">
        <v>800</v>
      </c>
      <c r="H9" s="29">
        <v>1</v>
      </c>
      <c r="I9" s="29">
        <v>0.99902199999999997</v>
      </c>
      <c r="J9" s="17">
        <v>0</v>
      </c>
    </row>
    <row r="10" spans="1:17" x14ac:dyDescent="0.3">
      <c r="A10" s="19">
        <v>45771.389432870368</v>
      </c>
      <c r="B10" s="43" t="s">
        <v>35</v>
      </c>
      <c r="C10" s="43" t="s">
        <v>743</v>
      </c>
      <c r="D10" s="43">
        <v>0</v>
      </c>
      <c r="H10" s="29">
        <v>1</v>
      </c>
      <c r="I10" s="29">
        <v>0.99902199999999997</v>
      </c>
      <c r="J10" s="17">
        <v>0</v>
      </c>
    </row>
    <row r="11" spans="1:17" x14ac:dyDescent="0.3">
      <c r="A11" s="19">
        <v>45771.389432870368</v>
      </c>
      <c r="B11" s="43" t="s">
        <v>35</v>
      </c>
      <c r="C11" s="43" t="s">
        <v>744</v>
      </c>
      <c r="D11" s="43">
        <v>0</v>
      </c>
      <c r="H11" s="29">
        <v>1</v>
      </c>
      <c r="I11" s="29">
        <v>0.99902199999999997</v>
      </c>
      <c r="J11" s="17">
        <v>0</v>
      </c>
    </row>
    <row r="12" spans="1:17" x14ac:dyDescent="0.3">
      <c r="A12" s="19">
        <v>45771.402303240742</v>
      </c>
      <c r="B12" s="43" t="s">
        <v>37</v>
      </c>
      <c r="C12" s="43" t="s">
        <v>740</v>
      </c>
      <c r="D12" s="43">
        <v>0</v>
      </c>
      <c r="H12" s="29">
        <v>1</v>
      </c>
      <c r="I12" s="29">
        <v>0.947801</v>
      </c>
      <c r="J12" s="17">
        <v>0</v>
      </c>
    </row>
    <row r="13" spans="1:17" x14ac:dyDescent="0.3">
      <c r="A13" s="19">
        <v>45771.402303240742</v>
      </c>
      <c r="B13" s="43" t="s">
        <v>37</v>
      </c>
      <c r="C13" s="43" t="s">
        <v>741</v>
      </c>
      <c r="D13" s="43">
        <v>48771.412417389904</v>
      </c>
      <c r="E13" t="s">
        <v>801</v>
      </c>
      <c r="H13" s="29">
        <v>1</v>
      </c>
      <c r="I13" s="29">
        <v>0.947801</v>
      </c>
      <c r="J13" s="17">
        <v>0</v>
      </c>
    </row>
    <row r="14" spans="1:17" x14ac:dyDescent="0.3">
      <c r="A14" s="19">
        <v>45771.402303240742</v>
      </c>
      <c r="B14" s="43" t="s">
        <v>37</v>
      </c>
      <c r="C14" s="43" t="s">
        <v>742</v>
      </c>
      <c r="D14" s="43">
        <v>96138.35</v>
      </c>
      <c r="E14" t="s">
        <v>802</v>
      </c>
      <c r="H14" s="29">
        <v>1</v>
      </c>
      <c r="I14" s="29">
        <v>0.947801</v>
      </c>
      <c r="J14" s="17">
        <v>0</v>
      </c>
    </row>
    <row r="15" spans="1:17" x14ac:dyDescent="0.3">
      <c r="A15" s="19">
        <v>45771.402303240742</v>
      </c>
      <c r="B15" s="43" t="s">
        <v>37</v>
      </c>
      <c r="C15" s="43" t="s">
        <v>743</v>
      </c>
      <c r="D15" s="43">
        <v>0</v>
      </c>
      <c r="H15" s="29">
        <v>1</v>
      </c>
      <c r="I15" s="29">
        <v>0.947801</v>
      </c>
      <c r="J15" s="17">
        <v>0</v>
      </c>
    </row>
    <row r="16" spans="1:17" x14ac:dyDescent="0.3">
      <c r="A16" s="19">
        <v>45771.402303240742</v>
      </c>
      <c r="B16" s="43" t="s">
        <v>37</v>
      </c>
      <c r="C16" s="43" t="s">
        <v>744</v>
      </c>
      <c r="D16" s="43">
        <v>0</v>
      </c>
      <c r="H16" s="29">
        <v>1</v>
      </c>
      <c r="I16" s="29">
        <v>0.947801</v>
      </c>
      <c r="J16" s="17">
        <v>0</v>
      </c>
    </row>
    <row r="17" spans="1:16" x14ac:dyDescent="0.3">
      <c r="A17" s="19">
        <v>45771.402303240742</v>
      </c>
      <c r="B17" s="43">
        <v>1200</v>
      </c>
      <c r="C17" s="43" t="s">
        <v>798</v>
      </c>
      <c r="D17" s="43"/>
      <c r="K17" s="61">
        <v>45771</v>
      </c>
      <c r="L17" t="s">
        <v>803</v>
      </c>
      <c r="M17">
        <v>143909.76000000001</v>
      </c>
      <c r="N17">
        <v>7397.6691379999975</v>
      </c>
      <c r="O17">
        <v>1000</v>
      </c>
      <c r="P17">
        <v>8397.6691379999975</v>
      </c>
    </row>
    <row r="18" spans="1:16" x14ac:dyDescent="0.3">
      <c r="A18" s="19">
        <v>45771.40693287037</v>
      </c>
      <c r="B18" s="43" t="s">
        <v>37</v>
      </c>
      <c r="C18" s="43" t="s">
        <v>740</v>
      </c>
      <c r="D18" s="43">
        <v>0</v>
      </c>
      <c r="E18" t="s">
        <v>804</v>
      </c>
      <c r="H18" s="29">
        <v>1</v>
      </c>
      <c r="I18" s="29">
        <v>0.947801</v>
      </c>
      <c r="J18" s="17">
        <v>0</v>
      </c>
    </row>
    <row r="19" spans="1:16" x14ac:dyDescent="0.3">
      <c r="A19" s="19">
        <v>45771.40693287037</v>
      </c>
      <c r="B19" s="43" t="s">
        <v>37</v>
      </c>
      <c r="C19" s="43" t="s">
        <v>741</v>
      </c>
      <c r="D19" s="43">
        <v>48771.412417389904</v>
      </c>
      <c r="E19" t="s">
        <v>801</v>
      </c>
      <c r="H19" s="29">
        <v>1</v>
      </c>
      <c r="I19" s="29">
        <v>0.947801</v>
      </c>
      <c r="J19" s="17">
        <v>0</v>
      </c>
    </row>
    <row r="20" spans="1:16" x14ac:dyDescent="0.3">
      <c r="A20" s="19">
        <v>45771.40693287037</v>
      </c>
      <c r="B20" s="43" t="s">
        <v>37</v>
      </c>
      <c r="C20" s="43" t="s">
        <v>742</v>
      </c>
      <c r="D20" s="43">
        <v>101228.58844453561</v>
      </c>
      <c r="E20" t="s">
        <v>802</v>
      </c>
      <c r="H20" s="29">
        <v>1</v>
      </c>
      <c r="I20" s="29">
        <v>0.947801</v>
      </c>
      <c r="J20" s="17">
        <v>0</v>
      </c>
    </row>
    <row r="21" spans="1:16" x14ac:dyDescent="0.3">
      <c r="A21" s="19">
        <v>45771.40693287037</v>
      </c>
      <c r="B21" s="43" t="s">
        <v>37</v>
      </c>
      <c r="C21" s="43" t="s">
        <v>743</v>
      </c>
      <c r="D21" s="43">
        <v>0</v>
      </c>
      <c r="H21" s="29">
        <v>1</v>
      </c>
      <c r="I21" s="29">
        <v>0.947801</v>
      </c>
      <c r="J21" s="17">
        <v>0</v>
      </c>
    </row>
    <row r="22" spans="1:16" x14ac:dyDescent="0.3">
      <c r="A22" s="19">
        <v>45771.40693287037</v>
      </c>
      <c r="B22" s="43" t="s">
        <v>37</v>
      </c>
      <c r="C22" s="43" t="s">
        <v>744</v>
      </c>
      <c r="D22" s="43">
        <v>0</v>
      </c>
      <c r="H22" s="29">
        <v>1</v>
      </c>
      <c r="I22" s="29">
        <v>0.947801</v>
      </c>
      <c r="J22" s="17">
        <v>0</v>
      </c>
    </row>
    <row r="23" spans="1:16" x14ac:dyDescent="0.3">
      <c r="A23" s="19">
        <v>45771.40693287037</v>
      </c>
      <c r="B23" s="43">
        <v>1200</v>
      </c>
      <c r="C23" s="43" t="s">
        <v>798</v>
      </c>
      <c r="D23" s="43"/>
      <c r="K23" t="s">
        <v>805</v>
      </c>
      <c r="L23">
        <v>13487.910000000003</v>
      </c>
    </row>
    <row r="24" spans="1:16" x14ac:dyDescent="0.3">
      <c r="A24" s="19">
        <v>45771.408055555556</v>
      </c>
      <c r="B24" s="43" t="s">
        <v>60</v>
      </c>
      <c r="C24" s="43" t="s">
        <v>740</v>
      </c>
      <c r="D24" s="43">
        <v>0</v>
      </c>
      <c r="H24" s="29">
        <v>1</v>
      </c>
      <c r="I24" s="29">
        <v>0.99245300000000003</v>
      </c>
      <c r="J24" s="17">
        <v>0</v>
      </c>
    </row>
    <row r="25" spans="1:16" x14ac:dyDescent="0.3">
      <c r="A25" s="19">
        <v>45771.408055555556</v>
      </c>
      <c r="B25" s="43" t="s">
        <v>60</v>
      </c>
      <c r="C25" s="43" t="s">
        <v>741</v>
      </c>
      <c r="D25" s="43">
        <v>0</v>
      </c>
      <c r="H25" s="29">
        <v>1</v>
      </c>
      <c r="I25" s="29">
        <v>0.99245300000000003</v>
      </c>
      <c r="J25" s="17">
        <v>0</v>
      </c>
    </row>
    <row r="26" spans="1:16" x14ac:dyDescent="0.3">
      <c r="A26" s="19">
        <v>45771.408055555556</v>
      </c>
      <c r="B26" s="43" t="s">
        <v>60</v>
      </c>
      <c r="C26" s="43" t="s">
        <v>742</v>
      </c>
      <c r="D26" s="43">
        <v>37217</v>
      </c>
      <c r="E26" t="s">
        <v>806</v>
      </c>
      <c r="H26" s="29">
        <v>1</v>
      </c>
      <c r="I26" s="29">
        <v>0.99245300000000003</v>
      </c>
      <c r="J26" s="17">
        <v>0</v>
      </c>
    </row>
    <row r="27" spans="1:16" x14ac:dyDescent="0.3">
      <c r="A27" s="19">
        <v>45771.408055555556</v>
      </c>
      <c r="B27" s="43" t="s">
        <v>60</v>
      </c>
      <c r="C27" s="43" t="s">
        <v>743</v>
      </c>
      <c r="D27" s="43">
        <v>0</v>
      </c>
      <c r="H27" s="29">
        <v>1</v>
      </c>
      <c r="I27" s="29">
        <v>0.99245300000000003</v>
      </c>
      <c r="J27" s="17">
        <v>0</v>
      </c>
    </row>
    <row r="28" spans="1:16" x14ac:dyDescent="0.3">
      <c r="A28" s="19">
        <v>45771.408055555556</v>
      </c>
      <c r="B28" s="43" t="s">
        <v>60</v>
      </c>
      <c r="C28" s="43" t="s">
        <v>744</v>
      </c>
      <c r="D28" s="43">
        <v>0</v>
      </c>
      <c r="H28" s="29">
        <v>1</v>
      </c>
      <c r="I28" s="29">
        <v>0.99245300000000003</v>
      </c>
      <c r="J28" s="17">
        <v>0</v>
      </c>
    </row>
    <row r="29" spans="1:16" x14ac:dyDescent="0.3">
      <c r="A29" s="19">
        <v>45771.414849537039</v>
      </c>
      <c r="B29" s="43" t="s">
        <v>62</v>
      </c>
      <c r="C29" s="43" t="s">
        <v>740</v>
      </c>
      <c r="D29" s="43">
        <v>0</v>
      </c>
      <c r="H29" s="29">
        <v>0.8</v>
      </c>
      <c r="I29" s="29">
        <v>0.64721899999999999</v>
      </c>
      <c r="J29" s="17">
        <v>0</v>
      </c>
    </row>
    <row r="30" spans="1:16" x14ac:dyDescent="0.3">
      <c r="A30" s="19">
        <v>45771.414849537039</v>
      </c>
      <c r="B30" s="43" t="s">
        <v>62</v>
      </c>
      <c r="C30" s="43" t="s">
        <v>741</v>
      </c>
      <c r="D30" s="43">
        <v>45200</v>
      </c>
      <c r="E30" t="s">
        <v>807</v>
      </c>
      <c r="H30" s="29">
        <v>0.8</v>
      </c>
      <c r="I30" s="29">
        <v>0.64721899999999999</v>
      </c>
      <c r="J30" s="17">
        <v>0</v>
      </c>
    </row>
    <row r="31" spans="1:16" x14ac:dyDescent="0.3">
      <c r="A31" s="19">
        <v>45771.414849537039</v>
      </c>
      <c r="B31" s="43" t="s">
        <v>62</v>
      </c>
      <c r="C31" s="43" t="s">
        <v>742</v>
      </c>
      <c r="D31" s="43">
        <v>4325.5200000000004</v>
      </c>
      <c r="H31" s="29">
        <v>0.8</v>
      </c>
      <c r="I31" s="29">
        <v>0.64721899999999999</v>
      </c>
      <c r="J31" s="17">
        <v>0</v>
      </c>
    </row>
    <row r="32" spans="1:16" x14ac:dyDescent="0.3">
      <c r="A32" s="19">
        <v>45771.414849537039</v>
      </c>
      <c r="B32" s="43" t="s">
        <v>62</v>
      </c>
      <c r="C32" s="43" t="s">
        <v>743</v>
      </c>
      <c r="D32" s="43">
        <v>0</v>
      </c>
      <c r="H32" s="29">
        <v>0.8</v>
      </c>
      <c r="I32" s="29">
        <v>0.64721899999999999</v>
      </c>
      <c r="J32" s="17">
        <v>0</v>
      </c>
    </row>
    <row r="33" spans="1:13" x14ac:dyDescent="0.3">
      <c r="A33" s="19">
        <v>45771.414849537039</v>
      </c>
      <c r="B33" s="43" t="s">
        <v>62</v>
      </c>
      <c r="C33" s="43" t="s">
        <v>744</v>
      </c>
      <c r="D33" s="43">
        <v>0</v>
      </c>
      <c r="H33" s="29">
        <v>0.8</v>
      </c>
      <c r="I33" s="29">
        <v>0.64721899999999999</v>
      </c>
      <c r="J33" s="17">
        <v>0</v>
      </c>
    </row>
    <row r="34" spans="1:13" x14ac:dyDescent="0.3">
      <c r="A34" s="19">
        <v>45771.414849537039</v>
      </c>
      <c r="B34" s="43">
        <v>1500</v>
      </c>
      <c r="C34" s="43" t="s">
        <v>798</v>
      </c>
      <c r="D34" s="43"/>
      <c r="K34" t="s">
        <v>808</v>
      </c>
    </row>
    <row r="35" spans="1:13" x14ac:dyDescent="0.3">
      <c r="A35" s="19">
        <v>45771.414849537039</v>
      </c>
      <c r="B35" s="43">
        <v>1500</v>
      </c>
      <c r="C35" s="43" t="s">
        <v>798</v>
      </c>
      <c r="D35" s="43"/>
      <c r="K35" t="s">
        <v>809</v>
      </c>
      <c r="L35" s="61">
        <v>45771</v>
      </c>
    </row>
    <row r="36" spans="1:13" x14ac:dyDescent="0.3">
      <c r="A36" s="19">
        <v>45771.414849537039</v>
      </c>
      <c r="B36" s="43">
        <v>1500</v>
      </c>
      <c r="C36" s="43" t="s">
        <v>798</v>
      </c>
      <c r="D36" s="43"/>
      <c r="K36" t="s">
        <v>810</v>
      </c>
    </row>
    <row r="37" spans="1:13" x14ac:dyDescent="0.3">
      <c r="A37" s="19">
        <v>45771.414849537039</v>
      </c>
      <c r="B37" s="43">
        <v>1500</v>
      </c>
      <c r="C37" s="43" t="s">
        <v>798</v>
      </c>
      <c r="D37" s="43"/>
      <c r="K37" t="s">
        <v>811</v>
      </c>
      <c r="L37">
        <v>4000</v>
      </c>
      <c r="M37" t="s">
        <v>812</v>
      </c>
    </row>
    <row r="38" spans="1:13" x14ac:dyDescent="0.3">
      <c r="A38" s="19">
        <v>45771.414849537039</v>
      </c>
      <c r="B38" s="43">
        <v>1500</v>
      </c>
      <c r="C38" s="43" t="s">
        <v>798</v>
      </c>
      <c r="D38" s="43"/>
      <c r="K38" t="s">
        <v>813</v>
      </c>
      <c r="L38">
        <v>4000</v>
      </c>
      <c r="M38" t="s">
        <v>814</v>
      </c>
    </row>
    <row r="39" spans="1:13" x14ac:dyDescent="0.3">
      <c r="A39" s="19">
        <v>45771.416435185187</v>
      </c>
      <c r="B39" s="43" t="s">
        <v>70</v>
      </c>
      <c r="C39" s="43" t="s">
        <v>740</v>
      </c>
      <c r="D39" s="43">
        <v>0</v>
      </c>
      <c r="H39" s="29">
        <v>0</v>
      </c>
      <c r="I39" s="29">
        <v>0</v>
      </c>
      <c r="J39" s="17" t="e">
        <v>#DIV/0!</v>
      </c>
    </row>
    <row r="40" spans="1:13" x14ac:dyDescent="0.3">
      <c r="A40" s="19">
        <v>45771.416435185187</v>
      </c>
      <c r="B40" s="43" t="s">
        <v>70</v>
      </c>
      <c r="C40" s="43" t="s">
        <v>741</v>
      </c>
      <c r="D40" s="43">
        <v>0</v>
      </c>
      <c r="H40" s="29">
        <v>0</v>
      </c>
      <c r="I40" s="29">
        <v>0</v>
      </c>
      <c r="J40" s="17" t="e">
        <v>#DIV/0!</v>
      </c>
    </row>
    <row r="41" spans="1:13" x14ac:dyDescent="0.3">
      <c r="A41" s="19">
        <v>45771.416435185187</v>
      </c>
      <c r="B41" s="43" t="s">
        <v>70</v>
      </c>
      <c r="C41" s="43" t="s">
        <v>742</v>
      </c>
      <c r="D41" s="43">
        <v>30000</v>
      </c>
      <c r="F41" t="s">
        <v>815</v>
      </c>
      <c r="H41" s="29">
        <v>0</v>
      </c>
      <c r="I41" s="29">
        <v>0</v>
      </c>
      <c r="J41" s="17" t="e">
        <v>#DIV/0!</v>
      </c>
    </row>
    <row r="42" spans="1:13" x14ac:dyDescent="0.3">
      <c r="A42" s="19">
        <v>45771.416435185187</v>
      </c>
      <c r="B42" s="43" t="s">
        <v>70</v>
      </c>
      <c r="C42" s="43" t="s">
        <v>743</v>
      </c>
      <c r="D42" s="43">
        <v>0</v>
      </c>
      <c r="H42" s="29">
        <v>0</v>
      </c>
      <c r="I42" s="29">
        <v>0</v>
      </c>
      <c r="J42" s="17" t="e">
        <v>#DIV/0!</v>
      </c>
    </row>
    <row r="43" spans="1:13" x14ac:dyDescent="0.3">
      <c r="A43" s="19">
        <v>45771.416435185187</v>
      </c>
      <c r="B43" s="43" t="s">
        <v>70</v>
      </c>
      <c r="C43" s="43" t="s">
        <v>744</v>
      </c>
      <c r="D43" s="43">
        <v>0</v>
      </c>
      <c r="H43" s="29">
        <v>0</v>
      </c>
      <c r="I43" s="29">
        <v>0</v>
      </c>
      <c r="J43" s="17" t="e">
        <v>#DIV/0!</v>
      </c>
    </row>
    <row r="44" spans="1:13" x14ac:dyDescent="0.3">
      <c r="A44" s="19">
        <v>45771.423263888886</v>
      </c>
      <c r="B44" s="43" t="s">
        <v>83</v>
      </c>
      <c r="C44" s="43" t="s">
        <v>740</v>
      </c>
      <c r="D44" s="43">
        <v>59279.64</v>
      </c>
      <c r="H44" s="29">
        <v>1</v>
      </c>
      <c r="I44" s="29">
        <v>1.0342819999999999</v>
      </c>
      <c r="J44" s="17">
        <v>0</v>
      </c>
    </row>
    <row r="45" spans="1:13" x14ac:dyDescent="0.3">
      <c r="A45" s="19">
        <v>45771.423263888886</v>
      </c>
      <c r="B45" s="43" t="s">
        <v>83</v>
      </c>
      <c r="C45" s="43" t="s">
        <v>741</v>
      </c>
      <c r="D45" s="43">
        <v>62212</v>
      </c>
      <c r="H45" s="29">
        <v>1</v>
      </c>
      <c r="I45" s="29">
        <v>1.0342819999999999</v>
      </c>
      <c r="J45" s="17">
        <v>0</v>
      </c>
    </row>
    <row r="46" spans="1:13" x14ac:dyDescent="0.3">
      <c r="A46" s="19">
        <v>45771.423263888886</v>
      </c>
      <c r="B46" s="43" t="s">
        <v>83</v>
      </c>
      <c r="C46" s="43" t="s">
        <v>742</v>
      </c>
      <c r="D46" s="43">
        <v>0</v>
      </c>
      <c r="H46" s="29">
        <v>1</v>
      </c>
      <c r="I46" s="29">
        <v>1.0342819999999999</v>
      </c>
      <c r="J46" s="17">
        <v>0</v>
      </c>
    </row>
    <row r="47" spans="1:13" x14ac:dyDescent="0.3">
      <c r="A47" s="19">
        <v>45771.423263888886</v>
      </c>
      <c r="B47" s="43" t="s">
        <v>83</v>
      </c>
      <c r="C47" s="43" t="s">
        <v>743</v>
      </c>
      <c r="D47" s="43">
        <v>9189.68</v>
      </c>
      <c r="H47" s="29">
        <v>1</v>
      </c>
      <c r="I47" s="29">
        <v>1.0342819999999999</v>
      </c>
      <c r="J47" s="17">
        <v>0</v>
      </c>
    </row>
    <row r="48" spans="1:13" x14ac:dyDescent="0.3">
      <c r="A48" s="19">
        <v>45771.423263888886</v>
      </c>
      <c r="B48" s="43" t="s">
        <v>83</v>
      </c>
      <c r="C48" s="43" t="s">
        <v>744</v>
      </c>
      <c r="D48" s="43">
        <v>19</v>
      </c>
      <c r="H48" s="29">
        <v>1</v>
      </c>
      <c r="I48" s="29">
        <v>1.0342819999999999</v>
      </c>
      <c r="J48" s="17">
        <v>0</v>
      </c>
    </row>
    <row r="49" spans="1:13" x14ac:dyDescent="0.3">
      <c r="A49" s="19">
        <v>45771.423263888886</v>
      </c>
      <c r="B49" s="43">
        <v>2200</v>
      </c>
      <c r="C49" s="43" t="s">
        <v>798</v>
      </c>
      <c r="D49" s="43"/>
      <c r="K49" s="61">
        <v>45771</v>
      </c>
      <c r="L49" t="s">
        <v>816</v>
      </c>
      <c r="M49">
        <v>3945.8099999999977</v>
      </c>
    </row>
    <row r="50" spans="1:13" x14ac:dyDescent="0.3">
      <c r="A50" s="19">
        <v>45771.423263888886</v>
      </c>
      <c r="B50" s="43">
        <v>2200</v>
      </c>
      <c r="C50" s="43" t="s">
        <v>798</v>
      </c>
      <c r="D50" s="43"/>
      <c r="K50" s="61">
        <v>45771</v>
      </c>
      <c r="L50" t="s">
        <v>817</v>
      </c>
      <c r="M50">
        <v>11500</v>
      </c>
    </row>
    <row r="51" spans="1:13" x14ac:dyDescent="0.3">
      <c r="A51" s="19">
        <v>45771.423263888886</v>
      </c>
      <c r="B51" s="43">
        <v>2200</v>
      </c>
      <c r="C51" s="43" t="s">
        <v>798</v>
      </c>
      <c r="D51" s="43"/>
      <c r="K51" t="s">
        <v>818</v>
      </c>
      <c r="M51">
        <v>15445.809999999998</v>
      </c>
    </row>
    <row r="52" spans="1:13" x14ac:dyDescent="0.3">
      <c r="A52" s="19">
        <v>45771.427499999998</v>
      </c>
      <c r="B52" s="43" t="s">
        <v>109</v>
      </c>
      <c r="C52" s="43" t="s">
        <v>740</v>
      </c>
      <c r="D52" s="43">
        <v>560</v>
      </c>
      <c r="H52" s="29">
        <v>1</v>
      </c>
      <c r="I52" s="29">
        <v>0.41681400000000002</v>
      </c>
      <c r="J52" s="17">
        <v>0</v>
      </c>
    </row>
    <row r="53" spans="1:13" x14ac:dyDescent="0.3">
      <c r="A53" s="19">
        <v>45771.427499999998</v>
      </c>
      <c r="B53" s="43" t="s">
        <v>109</v>
      </c>
      <c r="C53" s="43" t="s">
        <v>741</v>
      </c>
      <c r="D53" s="43">
        <v>21483.15</v>
      </c>
      <c r="H53" s="29">
        <v>1</v>
      </c>
      <c r="I53" s="29">
        <v>0.41681400000000002</v>
      </c>
      <c r="J53" s="17">
        <v>0</v>
      </c>
    </row>
    <row r="54" spans="1:13" x14ac:dyDescent="0.3">
      <c r="A54" s="19">
        <v>45771.427499999998</v>
      </c>
      <c r="B54" s="43" t="s">
        <v>109</v>
      </c>
      <c r="C54" s="43" t="s">
        <v>742</v>
      </c>
      <c r="D54" s="43">
        <v>2700</v>
      </c>
      <c r="H54" s="29">
        <v>1</v>
      </c>
      <c r="I54" s="29">
        <v>0.41681400000000002</v>
      </c>
      <c r="J54" s="17">
        <v>0</v>
      </c>
    </row>
    <row r="55" spans="1:13" x14ac:dyDescent="0.3">
      <c r="A55" s="19">
        <v>45771.427499999998</v>
      </c>
      <c r="B55" s="43" t="s">
        <v>109</v>
      </c>
      <c r="C55" s="43" t="s">
        <v>743</v>
      </c>
      <c r="D55" s="43">
        <v>0</v>
      </c>
      <c r="H55" s="29">
        <v>1</v>
      </c>
      <c r="I55" s="29">
        <v>0.41681400000000002</v>
      </c>
      <c r="J55" s="17">
        <v>0</v>
      </c>
    </row>
    <row r="56" spans="1:13" x14ac:dyDescent="0.3">
      <c r="A56" s="19">
        <v>45771.427499999998</v>
      </c>
      <c r="B56" s="43" t="s">
        <v>109</v>
      </c>
      <c r="C56" s="43" t="s">
        <v>744</v>
      </c>
      <c r="D56" s="43">
        <v>0</v>
      </c>
      <c r="H56" s="29">
        <v>1</v>
      </c>
      <c r="I56" s="29">
        <v>0.41681400000000002</v>
      </c>
      <c r="J56" s="17">
        <v>0</v>
      </c>
    </row>
    <row r="57" spans="1:13" x14ac:dyDescent="0.3">
      <c r="A57" s="19">
        <v>45771.430706018517</v>
      </c>
      <c r="B57" s="43" t="s">
        <v>122</v>
      </c>
      <c r="C57" s="43" t="s">
        <v>740</v>
      </c>
      <c r="D57" s="43">
        <v>18423.651701117222</v>
      </c>
      <c r="H57" s="29">
        <v>1</v>
      </c>
      <c r="I57" s="29">
        <v>0.52539000000000002</v>
      </c>
      <c r="J57" s="17">
        <v>0</v>
      </c>
    </row>
    <row r="58" spans="1:13" x14ac:dyDescent="0.3">
      <c r="A58" s="19">
        <v>45771.430706018517</v>
      </c>
      <c r="B58" s="43" t="s">
        <v>122</v>
      </c>
      <c r="C58" s="43" t="s">
        <v>741</v>
      </c>
      <c r="D58" s="43">
        <v>21427.88498257508</v>
      </c>
      <c r="H58" s="29">
        <v>1</v>
      </c>
      <c r="I58" s="29">
        <v>0.52539000000000002</v>
      </c>
      <c r="J58" s="17">
        <v>0</v>
      </c>
    </row>
    <row r="59" spans="1:13" x14ac:dyDescent="0.3">
      <c r="A59" s="19">
        <v>45771.430706018517</v>
      </c>
      <c r="B59" s="43" t="s">
        <v>122</v>
      </c>
      <c r="C59" s="43" t="s">
        <v>742</v>
      </c>
      <c r="D59" s="43">
        <v>0</v>
      </c>
      <c r="H59" s="29">
        <v>1</v>
      </c>
      <c r="I59" s="29">
        <v>0.52539000000000002</v>
      </c>
      <c r="J59" s="17">
        <v>0</v>
      </c>
    </row>
    <row r="60" spans="1:13" x14ac:dyDescent="0.3">
      <c r="A60" s="19">
        <v>45771.430706018517</v>
      </c>
      <c r="B60" s="43" t="s">
        <v>122</v>
      </c>
      <c r="C60" s="43" t="s">
        <v>743</v>
      </c>
      <c r="D60" s="43">
        <v>4982.9752912391732</v>
      </c>
      <c r="H60" s="29">
        <v>1</v>
      </c>
      <c r="I60" s="29">
        <v>0.52539000000000002</v>
      </c>
      <c r="J60" s="17">
        <v>0</v>
      </c>
    </row>
    <row r="61" spans="1:13" x14ac:dyDescent="0.3">
      <c r="A61" s="19">
        <v>45771.430706018517</v>
      </c>
      <c r="B61" s="43" t="s">
        <v>122</v>
      </c>
      <c r="C61" s="43" t="s">
        <v>744</v>
      </c>
      <c r="D61" s="43">
        <v>874.49381246823839</v>
      </c>
      <c r="H61" s="29">
        <v>1</v>
      </c>
      <c r="I61" s="29">
        <v>0.52539000000000002</v>
      </c>
      <c r="J61" s="17">
        <v>0</v>
      </c>
    </row>
    <row r="62" spans="1:13" x14ac:dyDescent="0.3">
      <c r="A62" s="19">
        <v>45771.432002314818</v>
      </c>
      <c r="B62" s="43" t="s">
        <v>177</v>
      </c>
      <c r="C62" s="43" t="s">
        <v>740</v>
      </c>
      <c r="D62" s="43">
        <v>1298.8</v>
      </c>
      <c r="H62" s="29">
        <v>0.2</v>
      </c>
      <c r="I62" s="29">
        <v>0.90745200000000004</v>
      </c>
      <c r="J62" s="17">
        <v>0</v>
      </c>
    </row>
    <row r="63" spans="1:13" x14ac:dyDescent="0.3">
      <c r="A63" s="19">
        <v>45771.432002314818</v>
      </c>
      <c r="B63" s="43" t="s">
        <v>177</v>
      </c>
      <c r="C63" s="43" t="s">
        <v>741</v>
      </c>
      <c r="D63" s="43">
        <v>12999.98</v>
      </c>
      <c r="H63" s="29">
        <v>0.2</v>
      </c>
      <c r="I63" s="29">
        <v>0.90745200000000004</v>
      </c>
      <c r="J63" s="17">
        <v>0</v>
      </c>
    </row>
    <row r="64" spans="1:13" x14ac:dyDescent="0.3">
      <c r="A64" s="19">
        <v>45771.432002314818</v>
      </c>
      <c r="B64" s="43" t="s">
        <v>177</v>
      </c>
      <c r="C64" s="43" t="s">
        <v>742</v>
      </c>
      <c r="D64" s="43">
        <v>0</v>
      </c>
      <c r="H64" s="29">
        <v>0.2</v>
      </c>
      <c r="I64" s="29">
        <v>0.90745200000000004</v>
      </c>
      <c r="J64" s="17">
        <v>0</v>
      </c>
    </row>
    <row r="65" spans="1:10" x14ac:dyDescent="0.3">
      <c r="A65" s="19">
        <v>45771.432002314818</v>
      </c>
      <c r="B65" s="43" t="s">
        <v>177</v>
      </c>
      <c r="C65" s="43" t="s">
        <v>743</v>
      </c>
      <c r="D65" s="43">
        <v>0</v>
      </c>
      <c r="H65" s="29">
        <v>0.2</v>
      </c>
      <c r="I65" s="29">
        <v>0.90745200000000004</v>
      </c>
      <c r="J65" s="17">
        <v>0</v>
      </c>
    </row>
    <row r="66" spans="1:10" x14ac:dyDescent="0.3">
      <c r="A66" s="19">
        <v>45771.432002314818</v>
      </c>
      <c r="B66" s="43" t="s">
        <v>177</v>
      </c>
      <c r="C66" s="43" t="s">
        <v>744</v>
      </c>
      <c r="D66" s="43">
        <v>0</v>
      </c>
      <c r="H66" s="29">
        <v>0.2</v>
      </c>
      <c r="I66" s="29">
        <v>0.90745200000000004</v>
      </c>
      <c r="J66" s="17">
        <v>0</v>
      </c>
    </row>
    <row r="67" spans="1:10" x14ac:dyDescent="0.3">
      <c r="A67" s="19">
        <v>45771.433159722219</v>
      </c>
      <c r="B67" s="43" t="s">
        <v>183</v>
      </c>
      <c r="C67" s="43" t="s">
        <v>740</v>
      </c>
      <c r="D67" s="43">
        <v>11938.080000000002</v>
      </c>
      <c r="H67" s="29">
        <v>0.2</v>
      </c>
      <c r="I67" s="29">
        <v>0.31769599999999998</v>
      </c>
      <c r="J67" s="17">
        <v>0</v>
      </c>
    </row>
    <row r="68" spans="1:10" x14ac:dyDescent="0.3">
      <c r="A68" s="19">
        <v>45771.433159722219</v>
      </c>
      <c r="B68" s="43" t="s">
        <v>183</v>
      </c>
      <c r="C68" s="43" t="s">
        <v>741</v>
      </c>
      <c r="D68" s="43">
        <v>147750.59</v>
      </c>
      <c r="H68" s="29">
        <v>0.2</v>
      </c>
      <c r="I68" s="29">
        <v>0.31769599999999998</v>
      </c>
      <c r="J68" s="17">
        <v>0</v>
      </c>
    </row>
    <row r="69" spans="1:10" x14ac:dyDescent="0.3">
      <c r="A69" s="19">
        <v>45771.433159722219</v>
      </c>
      <c r="B69" s="43" t="s">
        <v>183</v>
      </c>
      <c r="C69" s="43" t="s">
        <v>742</v>
      </c>
      <c r="D69" s="43">
        <v>0</v>
      </c>
      <c r="H69" s="29">
        <v>0.2</v>
      </c>
      <c r="I69" s="29">
        <v>0.31769599999999998</v>
      </c>
      <c r="J69" s="17">
        <v>0</v>
      </c>
    </row>
    <row r="70" spans="1:10" x14ac:dyDescent="0.3">
      <c r="A70" s="19">
        <v>45771.433159722219</v>
      </c>
      <c r="B70" s="43" t="s">
        <v>183</v>
      </c>
      <c r="C70" s="43" t="s">
        <v>743</v>
      </c>
      <c r="D70" s="43">
        <v>892.5</v>
      </c>
      <c r="H70" s="29">
        <v>0.2</v>
      </c>
      <c r="I70" s="29">
        <v>0.31769599999999998</v>
      </c>
      <c r="J70" s="17">
        <v>0</v>
      </c>
    </row>
    <row r="71" spans="1:10" x14ac:dyDescent="0.3">
      <c r="A71" s="19">
        <v>45771.433159722219</v>
      </c>
      <c r="B71" s="43" t="s">
        <v>183</v>
      </c>
      <c r="C71" s="43" t="s">
        <v>744</v>
      </c>
      <c r="D71" s="43">
        <v>0</v>
      </c>
      <c r="H71" s="29">
        <v>0.2</v>
      </c>
      <c r="I71" s="29">
        <v>0.31769599999999998</v>
      </c>
      <c r="J71" s="17">
        <v>0</v>
      </c>
    </row>
    <row r="72" spans="1:10" x14ac:dyDescent="0.3">
      <c r="A72" s="19">
        <v>45771.433437500003</v>
      </c>
      <c r="B72" s="43" t="s">
        <v>188</v>
      </c>
      <c r="C72" s="43" t="s">
        <v>740</v>
      </c>
      <c r="D72" s="43">
        <v>30630.346056228336</v>
      </c>
      <c r="H72" s="29">
        <v>0.2</v>
      </c>
      <c r="I72" s="29">
        <v>9.5495999999999998E-2</v>
      </c>
      <c r="J72" s="17">
        <v>0</v>
      </c>
    </row>
    <row r="73" spans="1:10" x14ac:dyDescent="0.3">
      <c r="A73" s="19">
        <v>45771.433437500003</v>
      </c>
      <c r="B73" s="43" t="s">
        <v>188</v>
      </c>
      <c r="C73" s="43" t="s">
        <v>741</v>
      </c>
      <c r="D73" s="43">
        <v>198438.37113400464</v>
      </c>
      <c r="H73" s="29">
        <v>0.2</v>
      </c>
      <c r="I73" s="29">
        <v>9.5495999999999998E-2</v>
      </c>
      <c r="J73" s="17">
        <v>0</v>
      </c>
    </row>
    <row r="74" spans="1:10" x14ac:dyDescent="0.3">
      <c r="A74" s="19">
        <v>45771.433437500003</v>
      </c>
      <c r="B74" s="43" t="s">
        <v>188</v>
      </c>
      <c r="C74" s="43" t="s">
        <v>742</v>
      </c>
      <c r="D74" s="43">
        <v>0</v>
      </c>
      <c r="H74" s="29">
        <v>0.2</v>
      </c>
      <c r="I74" s="29">
        <v>9.5495999999999998E-2</v>
      </c>
      <c r="J74" s="17">
        <v>0</v>
      </c>
    </row>
    <row r="75" spans="1:10" x14ac:dyDescent="0.3">
      <c r="A75" s="19">
        <v>45771.433437500003</v>
      </c>
      <c r="B75" s="43" t="s">
        <v>188</v>
      </c>
      <c r="C75" s="43" t="s">
        <v>743</v>
      </c>
      <c r="D75" s="43">
        <v>0</v>
      </c>
      <c r="H75" s="29">
        <v>0.2</v>
      </c>
      <c r="I75" s="29">
        <v>9.5495999999999998E-2</v>
      </c>
      <c r="J75" s="17">
        <v>0</v>
      </c>
    </row>
    <row r="76" spans="1:10" x14ac:dyDescent="0.3">
      <c r="A76" s="19">
        <v>45771.433437500003</v>
      </c>
      <c r="B76" s="43" t="s">
        <v>188</v>
      </c>
      <c r="C76" s="43" t="s">
        <v>744</v>
      </c>
      <c r="D76" s="43">
        <v>0</v>
      </c>
      <c r="H76" s="29">
        <v>0.2</v>
      </c>
      <c r="I76" s="29">
        <v>9.5495999999999998E-2</v>
      </c>
      <c r="J76" s="17">
        <v>0</v>
      </c>
    </row>
    <row r="77" spans="1:10" x14ac:dyDescent="0.3">
      <c r="A77" s="19">
        <v>45771.434247685182</v>
      </c>
      <c r="B77" s="43" t="s">
        <v>207</v>
      </c>
      <c r="C77" s="43" t="s">
        <v>740</v>
      </c>
      <c r="D77" s="43">
        <v>6486.1440000000002</v>
      </c>
      <c r="H77" s="29">
        <v>0.3</v>
      </c>
      <c r="I77" s="29">
        <v>0.29976999999999998</v>
      </c>
      <c r="J77" s="17">
        <v>0</v>
      </c>
    </row>
    <row r="78" spans="1:10" x14ac:dyDescent="0.3">
      <c r="A78" s="19">
        <v>45771.434247685182</v>
      </c>
      <c r="B78" s="43" t="s">
        <v>207</v>
      </c>
      <c r="C78" s="43" t="s">
        <v>741</v>
      </c>
      <c r="D78" s="43">
        <v>82833.100000000006</v>
      </c>
      <c r="H78" s="29">
        <v>0.3</v>
      </c>
      <c r="I78" s="29">
        <v>0.29976999999999998</v>
      </c>
      <c r="J78" s="17">
        <v>0</v>
      </c>
    </row>
    <row r="79" spans="1:10" x14ac:dyDescent="0.3">
      <c r="A79" s="19">
        <v>45771.434247685182</v>
      </c>
      <c r="B79" s="43" t="s">
        <v>207</v>
      </c>
      <c r="C79" s="43" t="s">
        <v>742</v>
      </c>
      <c r="D79" s="43">
        <v>0</v>
      </c>
      <c r="H79" s="29">
        <v>0.3</v>
      </c>
      <c r="I79" s="29">
        <v>0.29976999999999998</v>
      </c>
      <c r="J79" s="17">
        <v>0</v>
      </c>
    </row>
    <row r="80" spans="1:10" x14ac:dyDescent="0.3">
      <c r="A80" s="19">
        <v>45771.434247685182</v>
      </c>
      <c r="B80" s="43" t="s">
        <v>207</v>
      </c>
      <c r="C80" s="43" t="s">
        <v>743</v>
      </c>
      <c r="D80" s="43">
        <v>480</v>
      </c>
      <c r="H80" s="29">
        <v>0.3</v>
      </c>
      <c r="I80" s="29">
        <v>0.29976999999999998</v>
      </c>
      <c r="J80" s="17">
        <v>0</v>
      </c>
    </row>
    <row r="81" spans="1:10" x14ac:dyDescent="0.3">
      <c r="A81" s="19">
        <v>45771.434247685182</v>
      </c>
      <c r="B81" s="43" t="s">
        <v>207</v>
      </c>
      <c r="C81" s="43" t="s">
        <v>744</v>
      </c>
      <c r="D81" s="43">
        <v>0</v>
      </c>
      <c r="H81" s="29">
        <v>0.3</v>
      </c>
      <c r="I81" s="29">
        <v>0.29976999999999998</v>
      </c>
      <c r="J81" s="17">
        <v>0</v>
      </c>
    </row>
    <row r="82" spans="1:10" x14ac:dyDescent="0.3">
      <c r="A82" s="19">
        <v>45771.435694444444</v>
      </c>
      <c r="B82" s="43" t="s">
        <v>211</v>
      </c>
      <c r="C82" s="43" t="s">
        <v>740</v>
      </c>
      <c r="D82" s="43">
        <v>92.699999999999989</v>
      </c>
      <c r="H82" s="29">
        <v>0</v>
      </c>
      <c r="I82" s="29">
        <v>2.6923180000000002</v>
      </c>
      <c r="J82" s="17">
        <v>0</v>
      </c>
    </row>
    <row r="83" spans="1:10" x14ac:dyDescent="0.3">
      <c r="A83" s="19">
        <v>45771.435694444444</v>
      </c>
      <c r="B83" s="43" t="s">
        <v>211</v>
      </c>
      <c r="C83" s="43" t="s">
        <v>741</v>
      </c>
      <c r="D83" s="43">
        <v>3257.1</v>
      </c>
      <c r="E83" t="s">
        <v>819</v>
      </c>
      <c r="H83" s="29">
        <v>0</v>
      </c>
      <c r="I83" s="29">
        <v>2.6923180000000002</v>
      </c>
      <c r="J83" s="17">
        <v>0</v>
      </c>
    </row>
    <row r="84" spans="1:10" x14ac:dyDescent="0.3">
      <c r="A84" s="19">
        <v>45771.435694444444</v>
      </c>
      <c r="B84" s="43" t="s">
        <v>211</v>
      </c>
      <c r="C84" s="43" t="s">
        <v>742</v>
      </c>
      <c r="D84" s="43">
        <v>0</v>
      </c>
      <c r="H84" s="29">
        <v>0</v>
      </c>
      <c r="I84" s="29">
        <v>2.6923180000000002</v>
      </c>
      <c r="J84" s="17">
        <v>0</v>
      </c>
    </row>
    <row r="85" spans="1:10" x14ac:dyDescent="0.3">
      <c r="A85" s="19">
        <v>45771.435694444444</v>
      </c>
      <c r="B85" s="43" t="s">
        <v>211</v>
      </c>
      <c r="C85" s="43" t="s">
        <v>743</v>
      </c>
      <c r="D85" s="43">
        <v>0</v>
      </c>
      <c r="H85" s="29">
        <v>0</v>
      </c>
      <c r="I85" s="29">
        <v>2.6923180000000002</v>
      </c>
      <c r="J85" s="17">
        <v>0</v>
      </c>
    </row>
    <row r="86" spans="1:10" x14ac:dyDescent="0.3">
      <c r="A86" s="19">
        <v>45771.435694444444</v>
      </c>
      <c r="B86" s="43" t="s">
        <v>211</v>
      </c>
      <c r="C86" s="43" t="s">
        <v>744</v>
      </c>
      <c r="D86" s="43">
        <v>0</v>
      </c>
      <c r="H86" s="29">
        <v>0</v>
      </c>
      <c r="I86" s="29">
        <v>2.6923180000000002</v>
      </c>
      <c r="J86" s="17">
        <v>0</v>
      </c>
    </row>
    <row r="87" spans="1:10" x14ac:dyDescent="0.3">
      <c r="A87" s="19">
        <v>45771.436180555553</v>
      </c>
      <c r="B87" s="43" t="s">
        <v>215</v>
      </c>
      <c r="C87" s="43" t="s">
        <v>740</v>
      </c>
      <c r="D87" s="43">
        <v>608</v>
      </c>
      <c r="H87" s="29">
        <v>0.2</v>
      </c>
      <c r="I87" s="29">
        <v>0</v>
      </c>
      <c r="J87" s="17" t="e">
        <v>#DIV/0!</v>
      </c>
    </row>
    <row r="88" spans="1:10" x14ac:dyDescent="0.3">
      <c r="A88" s="19">
        <v>45771.436180555553</v>
      </c>
      <c r="B88" s="43" t="s">
        <v>215</v>
      </c>
      <c r="C88" s="43" t="s">
        <v>741</v>
      </c>
      <c r="D88" s="43">
        <v>15490.7</v>
      </c>
      <c r="H88" s="29">
        <v>0.2</v>
      </c>
      <c r="I88" s="29">
        <v>0</v>
      </c>
      <c r="J88" s="17" t="e">
        <v>#DIV/0!</v>
      </c>
    </row>
    <row r="89" spans="1:10" x14ac:dyDescent="0.3">
      <c r="A89" s="19">
        <v>45771.436180555553</v>
      </c>
      <c r="B89" s="43" t="s">
        <v>215</v>
      </c>
      <c r="C89" s="43" t="s">
        <v>742</v>
      </c>
      <c r="D89" s="43">
        <v>1675</v>
      </c>
      <c r="H89" s="29">
        <v>0.2</v>
      </c>
      <c r="I89" s="29">
        <v>0</v>
      </c>
      <c r="J89" s="17" t="e">
        <v>#DIV/0!</v>
      </c>
    </row>
    <row r="90" spans="1:10" x14ac:dyDescent="0.3">
      <c r="A90" s="19">
        <v>45771.436180555553</v>
      </c>
      <c r="B90" s="43" t="s">
        <v>215</v>
      </c>
      <c r="C90" s="43" t="s">
        <v>743</v>
      </c>
      <c r="D90" s="43">
        <v>0</v>
      </c>
      <c r="H90" s="29">
        <v>0.2</v>
      </c>
      <c r="I90" s="29">
        <v>0</v>
      </c>
      <c r="J90" s="17" t="e">
        <v>#DIV/0!</v>
      </c>
    </row>
    <row r="91" spans="1:10" x14ac:dyDescent="0.3">
      <c r="A91" s="19">
        <v>45771.436180555553</v>
      </c>
      <c r="B91" s="43" t="s">
        <v>215</v>
      </c>
      <c r="C91" s="43" t="s">
        <v>744</v>
      </c>
      <c r="D91" s="43">
        <v>0</v>
      </c>
      <c r="H91" s="29">
        <v>0.2</v>
      </c>
      <c r="I91" s="29">
        <v>0</v>
      </c>
      <c r="J91" s="17" t="e">
        <v>#DIV/0!</v>
      </c>
    </row>
    <row r="92" spans="1:10" x14ac:dyDescent="0.3">
      <c r="A92" s="19">
        <v>45771.438796296294</v>
      </c>
      <c r="B92" s="43" t="s">
        <v>215</v>
      </c>
      <c r="C92" s="43" t="s">
        <v>740</v>
      </c>
      <c r="D92" s="43">
        <v>608</v>
      </c>
      <c r="H92" s="29">
        <v>0.2</v>
      </c>
      <c r="I92" s="29">
        <v>0</v>
      </c>
      <c r="J92" s="17" t="e">
        <v>#DIV/0!</v>
      </c>
    </row>
    <row r="93" spans="1:10" x14ac:dyDescent="0.3">
      <c r="A93" s="19">
        <v>45771.438796296294</v>
      </c>
      <c r="B93" s="43" t="s">
        <v>215</v>
      </c>
      <c r="C93" s="43" t="s">
        <v>741</v>
      </c>
      <c r="D93" s="43">
        <v>2290.7000000000007</v>
      </c>
      <c r="E93" t="s">
        <v>820</v>
      </c>
      <c r="H93" s="29">
        <v>0.2</v>
      </c>
      <c r="I93" s="29">
        <v>0</v>
      </c>
      <c r="J93" s="17" t="e">
        <v>#DIV/0!</v>
      </c>
    </row>
    <row r="94" spans="1:10" x14ac:dyDescent="0.3">
      <c r="A94" s="19">
        <v>45771.438796296294</v>
      </c>
      <c r="B94" s="43" t="s">
        <v>215</v>
      </c>
      <c r="C94" s="43" t="s">
        <v>742</v>
      </c>
      <c r="D94" s="43">
        <v>1675</v>
      </c>
      <c r="H94" s="29">
        <v>0.2</v>
      </c>
      <c r="I94" s="29">
        <v>0</v>
      </c>
      <c r="J94" s="17" t="e">
        <v>#DIV/0!</v>
      </c>
    </row>
    <row r="95" spans="1:10" x14ac:dyDescent="0.3">
      <c r="A95" s="19">
        <v>45771.438796296294</v>
      </c>
      <c r="B95" s="43" t="s">
        <v>215</v>
      </c>
      <c r="C95" s="43" t="s">
        <v>743</v>
      </c>
      <c r="D95" s="43">
        <v>0</v>
      </c>
      <c r="H95" s="29">
        <v>0.2</v>
      </c>
      <c r="I95" s="29">
        <v>0</v>
      </c>
      <c r="J95" s="17" t="e">
        <v>#DIV/0!</v>
      </c>
    </row>
    <row r="96" spans="1:10" x14ac:dyDescent="0.3">
      <c r="A96" s="19">
        <v>45771.438796296294</v>
      </c>
      <c r="B96" s="43" t="s">
        <v>215</v>
      </c>
      <c r="C96" s="43" t="s">
        <v>744</v>
      </c>
      <c r="D96" s="43">
        <v>0</v>
      </c>
      <c r="H96" s="29">
        <v>0.2</v>
      </c>
      <c r="I96" s="29">
        <v>0</v>
      </c>
      <c r="J96" s="17" t="e">
        <v>#DIV/0!</v>
      </c>
    </row>
    <row r="97" spans="1:10" x14ac:dyDescent="0.3">
      <c r="A97" s="19">
        <v>45771.438877314817</v>
      </c>
      <c r="B97" s="43" t="s">
        <v>215</v>
      </c>
      <c r="C97" s="43" t="s">
        <v>740</v>
      </c>
      <c r="D97" s="43">
        <v>608</v>
      </c>
      <c r="H97" s="29">
        <v>0.2</v>
      </c>
      <c r="I97" s="29">
        <v>0</v>
      </c>
      <c r="J97" s="17" t="e">
        <v>#DIV/0!</v>
      </c>
    </row>
    <row r="98" spans="1:10" x14ac:dyDescent="0.3">
      <c r="A98" s="19">
        <v>45771.438877314817</v>
      </c>
      <c r="B98" s="43" t="s">
        <v>215</v>
      </c>
      <c r="C98" s="43" t="s">
        <v>741</v>
      </c>
      <c r="D98" s="43">
        <v>2290.7000000000007</v>
      </c>
      <c r="E98" t="s">
        <v>820</v>
      </c>
      <c r="H98" s="29">
        <v>0.2</v>
      </c>
      <c r="I98" s="29">
        <v>0</v>
      </c>
      <c r="J98" s="17" t="e">
        <v>#DIV/0!</v>
      </c>
    </row>
    <row r="99" spans="1:10" x14ac:dyDescent="0.3">
      <c r="A99" s="19">
        <v>45771.438877314817</v>
      </c>
      <c r="B99" s="43" t="s">
        <v>215</v>
      </c>
      <c r="C99" s="43" t="s">
        <v>742</v>
      </c>
      <c r="D99" s="43">
        <v>1675</v>
      </c>
      <c r="H99" s="29">
        <v>0.2</v>
      </c>
      <c r="I99" s="29">
        <v>0</v>
      </c>
      <c r="J99" s="17" t="e">
        <v>#DIV/0!</v>
      </c>
    </row>
    <row r="100" spans="1:10" x14ac:dyDescent="0.3">
      <c r="A100" s="19">
        <v>45771.438877314817</v>
      </c>
      <c r="B100" s="43" t="s">
        <v>215</v>
      </c>
      <c r="C100" s="43" t="s">
        <v>743</v>
      </c>
      <c r="D100" s="43">
        <v>0</v>
      </c>
      <c r="H100" s="29">
        <v>0.2</v>
      </c>
      <c r="I100" s="29">
        <v>0</v>
      </c>
      <c r="J100" s="17" t="e">
        <v>#DIV/0!</v>
      </c>
    </row>
    <row r="101" spans="1:10" x14ac:dyDescent="0.3">
      <c r="A101" s="19">
        <v>45771.438877314817</v>
      </c>
      <c r="B101" s="43" t="s">
        <v>215</v>
      </c>
      <c r="C101" s="43" t="s">
        <v>744</v>
      </c>
      <c r="D101" s="43">
        <v>0</v>
      </c>
      <c r="H101" s="29">
        <v>0.2</v>
      </c>
      <c r="I101" s="29">
        <v>0</v>
      </c>
      <c r="J101" s="17" t="e">
        <v>#DIV/0!</v>
      </c>
    </row>
    <row r="102" spans="1:10" x14ac:dyDescent="0.3">
      <c r="A102" s="19">
        <v>45771.439502314817</v>
      </c>
      <c r="B102" s="43" t="s">
        <v>221</v>
      </c>
      <c r="C102" s="43" t="s">
        <v>740</v>
      </c>
      <c r="D102" s="43">
        <v>7520.2000000000007</v>
      </c>
      <c r="H102" s="29">
        <v>0.15</v>
      </c>
      <c r="I102" s="29">
        <v>0.25817499999999999</v>
      </c>
      <c r="J102" s="17">
        <v>0</v>
      </c>
    </row>
    <row r="103" spans="1:10" x14ac:dyDescent="0.3">
      <c r="A103" s="19">
        <v>45771.439502314817</v>
      </c>
      <c r="B103" s="43" t="s">
        <v>221</v>
      </c>
      <c r="C103" s="43" t="s">
        <v>741</v>
      </c>
      <c r="D103" s="43">
        <v>61885.469999999994</v>
      </c>
      <c r="H103" s="29">
        <v>0.15</v>
      </c>
      <c r="I103" s="29">
        <v>0.25817499999999999</v>
      </c>
      <c r="J103" s="17">
        <v>0</v>
      </c>
    </row>
    <row r="104" spans="1:10" x14ac:dyDescent="0.3">
      <c r="A104" s="19">
        <v>45771.439502314817</v>
      </c>
      <c r="B104" s="43" t="s">
        <v>221</v>
      </c>
      <c r="C104" s="43" t="s">
        <v>742</v>
      </c>
      <c r="D104" s="43">
        <v>0</v>
      </c>
      <c r="H104" s="29">
        <v>0.15</v>
      </c>
      <c r="I104" s="29">
        <v>0.25817499999999999</v>
      </c>
      <c r="J104" s="17">
        <v>0</v>
      </c>
    </row>
    <row r="105" spans="1:10" x14ac:dyDescent="0.3">
      <c r="A105" s="19">
        <v>45771.439502314817</v>
      </c>
      <c r="B105" s="43" t="s">
        <v>221</v>
      </c>
      <c r="C105" s="43" t="s">
        <v>743</v>
      </c>
      <c r="D105" s="43">
        <v>712.5</v>
      </c>
      <c r="H105" s="29">
        <v>0.15</v>
      </c>
      <c r="I105" s="29">
        <v>0.25817499999999999</v>
      </c>
      <c r="J105" s="17">
        <v>0</v>
      </c>
    </row>
    <row r="106" spans="1:10" x14ac:dyDescent="0.3">
      <c r="A106" s="19">
        <v>45771.439502314817</v>
      </c>
      <c r="B106" s="43" t="s">
        <v>221</v>
      </c>
      <c r="C106" s="43" t="s">
        <v>744</v>
      </c>
      <c r="D106" s="43">
        <v>12</v>
      </c>
      <c r="H106" s="29">
        <v>0.15</v>
      </c>
      <c r="I106" s="29">
        <v>0.25817499999999999</v>
      </c>
      <c r="J106" s="17">
        <v>0</v>
      </c>
    </row>
    <row r="107" spans="1:10" x14ac:dyDescent="0.3">
      <c r="A107" s="19">
        <v>45771.440509259257</v>
      </c>
      <c r="B107" s="43" t="s">
        <v>235</v>
      </c>
      <c r="C107" s="43" t="s">
        <v>740</v>
      </c>
      <c r="D107" s="43">
        <v>10828.259319868517</v>
      </c>
      <c r="H107" s="29">
        <v>0</v>
      </c>
      <c r="I107" s="29">
        <v>0</v>
      </c>
      <c r="J107" s="17" t="e">
        <v>#DIV/0!</v>
      </c>
    </row>
    <row r="108" spans="1:10" x14ac:dyDescent="0.3">
      <c r="A108" s="19">
        <v>45771.440509259257</v>
      </c>
      <c r="B108" s="43" t="s">
        <v>235</v>
      </c>
      <c r="C108" s="43" t="s">
        <v>741</v>
      </c>
      <c r="D108" s="43">
        <v>471.79596314059438</v>
      </c>
      <c r="H108" s="29">
        <v>0</v>
      </c>
      <c r="I108" s="29">
        <v>0</v>
      </c>
      <c r="J108" s="17" t="e">
        <v>#DIV/0!</v>
      </c>
    </row>
    <row r="109" spans="1:10" x14ac:dyDescent="0.3">
      <c r="A109" s="19">
        <v>45771.440509259257</v>
      </c>
      <c r="B109" s="43" t="s">
        <v>235</v>
      </c>
      <c r="C109" s="43" t="s">
        <v>742</v>
      </c>
      <c r="D109" s="43">
        <v>0</v>
      </c>
      <c r="H109" s="29">
        <v>0</v>
      </c>
      <c r="I109" s="29">
        <v>0</v>
      </c>
      <c r="J109" s="17" t="e">
        <v>#DIV/0!</v>
      </c>
    </row>
    <row r="110" spans="1:10" x14ac:dyDescent="0.3">
      <c r="A110" s="19">
        <v>45771.440509259257</v>
      </c>
      <c r="B110" s="43" t="s">
        <v>235</v>
      </c>
      <c r="C110" s="43" t="s">
        <v>743</v>
      </c>
      <c r="D110" s="43">
        <v>0</v>
      </c>
      <c r="H110" s="29">
        <v>0</v>
      </c>
      <c r="I110" s="29">
        <v>0</v>
      </c>
      <c r="J110" s="17" t="e">
        <v>#DIV/0!</v>
      </c>
    </row>
    <row r="111" spans="1:10" x14ac:dyDescent="0.3">
      <c r="A111" s="19">
        <v>45771.440509259257</v>
      </c>
      <c r="B111" s="43" t="s">
        <v>235</v>
      </c>
      <c r="C111" s="43" t="s">
        <v>744</v>
      </c>
      <c r="D111" s="43">
        <v>0</v>
      </c>
      <c r="H111" s="29">
        <v>0</v>
      </c>
      <c r="I111" s="29">
        <v>0</v>
      </c>
      <c r="J111" s="17" t="e">
        <v>#DIV/0!</v>
      </c>
    </row>
    <row r="112" spans="1:10" x14ac:dyDescent="0.3">
      <c r="A112" s="19">
        <v>45771.444733796299</v>
      </c>
      <c r="B112" s="43" t="s">
        <v>238</v>
      </c>
      <c r="C112" s="43" t="s">
        <v>740</v>
      </c>
      <c r="D112" s="43">
        <v>0</v>
      </c>
      <c r="H112" s="29">
        <v>0</v>
      </c>
      <c r="I112" s="29">
        <v>7.443E-3</v>
      </c>
      <c r="J112" s="17">
        <v>0</v>
      </c>
    </row>
    <row r="113" spans="1:18" x14ac:dyDescent="0.3">
      <c r="A113" s="19">
        <v>45771.444733796299</v>
      </c>
      <c r="B113" s="43" t="s">
        <v>238</v>
      </c>
      <c r="C113" s="43" t="s">
        <v>741</v>
      </c>
      <c r="D113" s="43">
        <v>3089.616</v>
      </c>
      <c r="H113" s="29">
        <v>0</v>
      </c>
      <c r="I113" s="29">
        <v>7.443E-3</v>
      </c>
      <c r="J113" s="17">
        <v>0</v>
      </c>
    </row>
    <row r="114" spans="1:18" x14ac:dyDescent="0.3">
      <c r="A114" s="19">
        <v>45771.444733796299</v>
      </c>
      <c r="B114" s="43" t="s">
        <v>238</v>
      </c>
      <c r="C114" s="43" t="s">
        <v>742</v>
      </c>
      <c r="D114" s="43">
        <v>8855.9242966679139</v>
      </c>
      <c r="H114" s="29">
        <v>0</v>
      </c>
      <c r="I114" s="29">
        <v>7.443E-3</v>
      </c>
      <c r="J114" s="17">
        <v>0</v>
      </c>
    </row>
    <row r="115" spans="1:18" x14ac:dyDescent="0.3">
      <c r="A115" s="19">
        <v>45771.444733796299</v>
      </c>
      <c r="B115" s="43" t="s">
        <v>238</v>
      </c>
      <c r="C115" s="43" t="s">
        <v>743</v>
      </c>
      <c r="D115" s="43">
        <v>0</v>
      </c>
      <c r="H115" s="29">
        <v>0</v>
      </c>
      <c r="I115" s="29">
        <v>7.443E-3</v>
      </c>
      <c r="J115" s="17">
        <v>0</v>
      </c>
    </row>
    <row r="116" spans="1:18" x14ac:dyDescent="0.3">
      <c r="A116" s="19">
        <v>45771.444733796299</v>
      </c>
      <c r="B116" s="43" t="s">
        <v>238</v>
      </c>
      <c r="C116" s="43" t="s">
        <v>744</v>
      </c>
      <c r="D116" s="43">
        <v>0</v>
      </c>
      <c r="H116" s="29">
        <v>0</v>
      </c>
      <c r="I116" s="29">
        <v>7.443E-3</v>
      </c>
      <c r="J116" s="17">
        <v>0</v>
      </c>
    </row>
    <row r="117" spans="1:18" x14ac:dyDescent="0.3">
      <c r="A117" s="19">
        <v>45771.447500000002</v>
      </c>
      <c r="B117" s="43" t="s">
        <v>242</v>
      </c>
      <c r="C117" s="43" t="s">
        <v>740</v>
      </c>
      <c r="D117" s="43">
        <v>9778.2799425148078</v>
      </c>
      <c r="H117" s="29">
        <v>0.2</v>
      </c>
      <c r="I117" s="29">
        <v>0.332681</v>
      </c>
      <c r="J117" s="17">
        <v>0</v>
      </c>
    </row>
    <row r="118" spans="1:18" x14ac:dyDescent="0.3">
      <c r="A118" s="19">
        <v>45771.447500000002</v>
      </c>
      <c r="B118" s="43" t="s">
        <v>242</v>
      </c>
      <c r="C118" s="43" t="s">
        <v>741</v>
      </c>
      <c r="D118" s="43">
        <v>768.93512582405049</v>
      </c>
      <c r="H118" s="29">
        <v>0.2</v>
      </c>
      <c r="I118" s="29">
        <v>0.332681</v>
      </c>
      <c r="J118" s="17">
        <v>0</v>
      </c>
    </row>
    <row r="119" spans="1:18" x14ac:dyDescent="0.3">
      <c r="A119" s="19">
        <v>45771.447500000002</v>
      </c>
      <c r="B119" s="43" t="s">
        <v>242</v>
      </c>
      <c r="C119" s="43" t="s">
        <v>742</v>
      </c>
      <c r="D119" s="43">
        <v>115346</v>
      </c>
      <c r="H119" s="29">
        <v>0.2</v>
      </c>
      <c r="I119" s="29">
        <v>0.332681</v>
      </c>
      <c r="J119" s="17">
        <v>0</v>
      </c>
    </row>
    <row r="120" spans="1:18" x14ac:dyDescent="0.3">
      <c r="A120" s="19">
        <v>45771.447500000002</v>
      </c>
      <c r="B120" s="43" t="s">
        <v>242</v>
      </c>
      <c r="C120" s="43" t="s">
        <v>743</v>
      </c>
      <c r="D120" s="43">
        <v>0</v>
      </c>
      <c r="H120" s="29">
        <v>0.2</v>
      </c>
      <c r="I120" s="29">
        <v>0.332681</v>
      </c>
      <c r="J120" s="17">
        <v>0</v>
      </c>
    </row>
    <row r="121" spans="1:18" x14ac:dyDescent="0.3">
      <c r="A121" s="19">
        <v>45771.447500000002</v>
      </c>
      <c r="B121" s="43" t="s">
        <v>242</v>
      </c>
      <c r="C121" s="43" t="s">
        <v>744</v>
      </c>
      <c r="D121" s="43">
        <v>0</v>
      </c>
      <c r="H121" s="29">
        <v>0.2</v>
      </c>
      <c r="I121" s="29">
        <v>0.332681</v>
      </c>
      <c r="J121" s="17">
        <v>0</v>
      </c>
    </row>
    <row r="122" spans="1:18" x14ac:dyDescent="0.3">
      <c r="A122" s="19">
        <v>45771.450150462966</v>
      </c>
      <c r="B122" s="43" t="s">
        <v>279</v>
      </c>
      <c r="C122" s="43" t="s">
        <v>740</v>
      </c>
      <c r="D122" s="43">
        <v>0</v>
      </c>
      <c r="H122" s="29">
        <v>0</v>
      </c>
      <c r="I122" s="29">
        <v>0</v>
      </c>
      <c r="J122" s="17" t="e">
        <v>#DIV/0!</v>
      </c>
    </row>
    <row r="123" spans="1:18" x14ac:dyDescent="0.3">
      <c r="A123" s="19">
        <v>45771.450150462966</v>
      </c>
      <c r="B123" s="43" t="s">
        <v>279</v>
      </c>
      <c r="C123" s="43" t="s">
        <v>741</v>
      </c>
      <c r="D123" s="43">
        <v>8500.9000000000033</v>
      </c>
      <c r="H123" s="29">
        <v>0</v>
      </c>
      <c r="I123" s="29">
        <v>0</v>
      </c>
      <c r="J123" s="17" t="e">
        <v>#DIV/0!</v>
      </c>
    </row>
    <row r="124" spans="1:18" x14ac:dyDescent="0.3">
      <c r="A124" s="19">
        <v>45771.450150462966</v>
      </c>
      <c r="B124" s="43" t="s">
        <v>279</v>
      </c>
      <c r="C124" s="43" t="s">
        <v>742</v>
      </c>
      <c r="D124" s="43">
        <v>0</v>
      </c>
      <c r="H124" s="29">
        <v>0</v>
      </c>
      <c r="I124" s="29">
        <v>0</v>
      </c>
      <c r="J124" s="17" t="e">
        <v>#DIV/0!</v>
      </c>
    </row>
    <row r="125" spans="1:18" x14ac:dyDescent="0.3">
      <c r="A125" s="19">
        <v>45771.450150462966</v>
      </c>
      <c r="B125" s="43" t="s">
        <v>279</v>
      </c>
      <c r="C125" s="43" t="s">
        <v>743</v>
      </c>
      <c r="D125" s="43">
        <v>0</v>
      </c>
      <c r="H125" s="29">
        <v>0</v>
      </c>
      <c r="I125" s="29">
        <v>0</v>
      </c>
      <c r="J125" s="17" t="e">
        <v>#DIV/0!</v>
      </c>
    </row>
    <row r="126" spans="1:18" x14ac:dyDescent="0.3">
      <c r="A126" s="19">
        <v>45771.450150462966</v>
      </c>
      <c r="B126" s="43" t="s">
        <v>279</v>
      </c>
      <c r="C126" s="43" t="s">
        <v>744</v>
      </c>
      <c r="D126" s="43">
        <v>0</v>
      </c>
      <c r="H126" s="29">
        <v>0</v>
      </c>
      <c r="I126" s="29">
        <v>0</v>
      </c>
      <c r="J126" s="17" t="e">
        <v>#DIV/0!</v>
      </c>
    </row>
    <row r="127" spans="1:18" x14ac:dyDescent="0.3">
      <c r="A127" s="19">
        <v>45771.450150462966</v>
      </c>
      <c r="B127" s="43">
        <v>3720</v>
      </c>
      <c r="C127" s="43" t="s">
        <v>798</v>
      </c>
      <c r="D127" s="43"/>
      <c r="K127" t="s">
        <v>821</v>
      </c>
      <c r="L127" t="s">
        <v>822</v>
      </c>
      <c r="N127">
        <v>-1418</v>
      </c>
    </row>
    <row r="128" spans="1:18" x14ac:dyDescent="0.3">
      <c r="A128" s="19">
        <v>45771.450150462966</v>
      </c>
      <c r="B128" s="43">
        <v>3720</v>
      </c>
      <c r="C128" s="43" t="s">
        <v>799</v>
      </c>
      <c r="D128" s="43"/>
      <c r="Q128" t="s">
        <v>823</v>
      </c>
      <c r="R128">
        <v>24</v>
      </c>
    </row>
    <row r="129" spans="1:12" x14ac:dyDescent="0.3">
      <c r="A129" s="19">
        <v>45771.451203703706</v>
      </c>
      <c r="B129" s="43" t="s">
        <v>281</v>
      </c>
      <c r="C129" s="43" t="s">
        <v>740</v>
      </c>
      <c r="D129" s="43">
        <v>0</v>
      </c>
      <c r="H129" s="29">
        <v>0</v>
      </c>
      <c r="I129" s="29">
        <v>0</v>
      </c>
      <c r="J129" s="17" t="e">
        <v>#DIV/0!</v>
      </c>
    </row>
    <row r="130" spans="1:12" x14ac:dyDescent="0.3">
      <c r="A130" s="19">
        <v>45771.451203703706</v>
      </c>
      <c r="B130" s="43" t="s">
        <v>281</v>
      </c>
      <c r="C130" s="43" t="s">
        <v>741</v>
      </c>
      <c r="D130" s="43">
        <v>0</v>
      </c>
      <c r="H130" s="29">
        <v>0</v>
      </c>
      <c r="I130" s="29">
        <v>0</v>
      </c>
      <c r="J130" s="17" t="e">
        <v>#DIV/0!</v>
      </c>
    </row>
    <row r="131" spans="1:12" x14ac:dyDescent="0.3">
      <c r="A131" s="19">
        <v>45771.451203703706</v>
      </c>
      <c r="B131" s="43" t="s">
        <v>281</v>
      </c>
      <c r="C131" s="43" t="s">
        <v>742</v>
      </c>
      <c r="D131" s="43">
        <v>8161.8526762237489</v>
      </c>
      <c r="F131" t="s">
        <v>824</v>
      </c>
      <c r="H131" s="29">
        <v>0</v>
      </c>
      <c r="I131" s="29">
        <v>0</v>
      </c>
      <c r="J131" s="17" t="e">
        <v>#DIV/0!</v>
      </c>
    </row>
    <row r="132" spans="1:12" x14ac:dyDescent="0.3">
      <c r="A132" s="19">
        <v>45771.451203703706</v>
      </c>
      <c r="B132" s="43" t="s">
        <v>281</v>
      </c>
      <c r="C132" s="43" t="s">
        <v>743</v>
      </c>
      <c r="D132" s="43">
        <v>0</v>
      </c>
      <c r="H132" s="29">
        <v>0</v>
      </c>
      <c r="I132" s="29">
        <v>0</v>
      </c>
      <c r="J132" s="17" t="e">
        <v>#DIV/0!</v>
      </c>
    </row>
    <row r="133" spans="1:12" x14ac:dyDescent="0.3">
      <c r="A133" s="19">
        <v>45771.451203703706</v>
      </c>
      <c r="B133" s="43" t="s">
        <v>281</v>
      </c>
      <c r="C133" s="43" t="s">
        <v>744</v>
      </c>
      <c r="D133" s="43">
        <v>0</v>
      </c>
      <c r="H133" s="29">
        <v>0</v>
      </c>
      <c r="I133" s="29">
        <v>0</v>
      </c>
      <c r="J133" s="17" t="e">
        <v>#DIV/0!</v>
      </c>
    </row>
    <row r="134" spans="1:12" x14ac:dyDescent="0.3">
      <c r="A134" s="19">
        <v>45771.451203703706</v>
      </c>
      <c r="B134" s="43">
        <v>3750</v>
      </c>
      <c r="C134" s="43" t="s">
        <v>798</v>
      </c>
      <c r="D134" s="43"/>
      <c r="K134" t="s">
        <v>825</v>
      </c>
      <c r="L134" t="s">
        <v>826</v>
      </c>
    </row>
    <row r="135" spans="1:12" x14ac:dyDescent="0.3">
      <c r="A135" s="19">
        <v>45771.454143518517</v>
      </c>
      <c r="B135" s="43" t="s">
        <v>283</v>
      </c>
      <c r="C135" s="43" t="s">
        <v>740</v>
      </c>
      <c r="D135" s="43">
        <v>873.99999999999989</v>
      </c>
      <c r="H135" s="29">
        <v>0</v>
      </c>
      <c r="I135" s="29">
        <v>0.16439300000000001</v>
      </c>
      <c r="J135" s="17">
        <v>0</v>
      </c>
    </row>
    <row r="136" spans="1:12" x14ac:dyDescent="0.3">
      <c r="A136" s="19">
        <v>45771.454143518517</v>
      </c>
      <c r="B136" s="43" t="s">
        <v>283</v>
      </c>
      <c r="C136" s="43" t="s">
        <v>741</v>
      </c>
      <c r="D136" s="43">
        <v>88200</v>
      </c>
      <c r="E136" t="s">
        <v>827</v>
      </c>
      <c r="F136" t="s">
        <v>828</v>
      </c>
      <c r="H136" s="29">
        <v>0</v>
      </c>
      <c r="I136" s="29">
        <v>0.16439300000000001</v>
      </c>
      <c r="J136" s="17">
        <v>0</v>
      </c>
    </row>
    <row r="137" spans="1:12" x14ac:dyDescent="0.3">
      <c r="A137" s="19">
        <v>45771.454143518517</v>
      </c>
      <c r="B137" s="43" t="s">
        <v>283</v>
      </c>
      <c r="C137" s="43" t="s">
        <v>742</v>
      </c>
      <c r="D137" s="43">
        <v>4665</v>
      </c>
      <c r="H137" s="29">
        <v>0</v>
      </c>
      <c r="I137" s="29">
        <v>0.16439300000000001</v>
      </c>
      <c r="J137" s="17">
        <v>0</v>
      </c>
    </row>
    <row r="138" spans="1:12" x14ac:dyDescent="0.3">
      <c r="A138" s="19">
        <v>45771.454143518517</v>
      </c>
      <c r="B138" s="43" t="s">
        <v>283</v>
      </c>
      <c r="C138" s="43" t="s">
        <v>743</v>
      </c>
      <c r="D138" s="43">
        <v>0</v>
      </c>
      <c r="H138" s="29">
        <v>0</v>
      </c>
      <c r="I138" s="29">
        <v>0.16439300000000001</v>
      </c>
      <c r="J138" s="17">
        <v>0</v>
      </c>
    </row>
    <row r="139" spans="1:12" x14ac:dyDescent="0.3">
      <c r="A139" s="19">
        <v>45771.454143518517</v>
      </c>
      <c r="B139" s="43" t="s">
        <v>283</v>
      </c>
      <c r="C139" s="43" t="s">
        <v>744</v>
      </c>
      <c r="D139" s="43">
        <v>0</v>
      </c>
      <c r="H139" s="29">
        <v>0</v>
      </c>
      <c r="I139" s="29">
        <v>0.16439300000000001</v>
      </c>
      <c r="J139" s="17">
        <v>0</v>
      </c>
    </row>
    <row r="140" spans="1:12" x14ac:dyDescent="0.3">
      <c r="A140" s="19">
        <v>45771.454733796294</v>
      </c>
      <c r="B140" s="43" t="s">
        <v>298</v>
      </c>
      <c r="C140" s="43" t="s">
        <v>740</v>
      </c>
      <c r="D140" s="43">
        <v>0</v>
      </c>
      <c r="H140" s="29">
        <v>0</v>
      </c>
      <c r="I140" s="29">
        <v>0</v>
      </c>
      <c r="J140" s="17" t="e">
        <v>#DIV/0!</v>
      </c>
    </row>
    <row r="141" spans="1:12" x14ac:dyDescent="0.3">
      <c r="A141" s="19">
        <v>45771.454733796294</v>
      </c>
      <c r="B141" s="43" t="s">
        <v>298</v>
      </c>
      <c r="C141" s="43" t="s">
        <v>741</v>
      </c>
      <c r="D141" s="43">
        <v>41283</v>
      </c>
      <c r="H141" s="29">
        <v>0</v>
      </c>
      <c r="I141" s="29">
        <v>0</v>
      </c>
      <c r="J141" s="17" t="e">
        <v>#DIV/0!</v>
      </c>
    </row>
    <row r="142" spans="1:12" x14ac:dyDescent="0.3">
      <c r="A142" s="19">
        <v>45771.454733796294</v>
      </c>
      <c r="B142" s="43" t="s">
        <v>298</v>
      </c>
      <c r="C142" s="43" t="s">
        <v>742</v>
      </c>
      <c r="D142" s="43">
        <v>14141.52</v>
      </c>
      <c r="H142" s="29">
        <v>0</v>
      </c>
      <c r="I142" s="29">
        <v>0</v>
      </c>
      <c r="J142" s="17" t="e">
        <v>#DIV/0!</v>
      </c>
    </row>
    <row r="143" spans="1:12" x14ac:dyDescent="0.3">
      <c r="A143" s="19">
        <v>45771.454733796294</v>
      </c>
      <c r="B143" s="43" t="s">
        <v>298</v>
      </c>
      <c r="C143" s="43" t="s">
        <v>743</v>
      </c>
      <c r="D143" s="43">
        <v>0</v>
      </c>
      <c r="H143" s="29">
        <v>0</v>
      </c>
      <c r="I143" s="29">
        <v>0</v>
      </c>
      <c r="J143" s="17" t="e">
        <v>#DIV/0!</v>
      </c>
    </row>
    <row r="144" spans="1:12" x14ac:dyDescent="0.3">
      <c r="A144" s="19">
        <v>45771.454733796294</v>
      </c>
      <c r="B144" s="43" t="s">
        <v>298</v>
      </c>
      <c r="C144" s="43" t="s">
        <v>744</v>
      </c>
      <c r="D144" s="43">
        <v>0</v>
      </c>
      <c r="H144" s="29">
        <v>0</v>
      </c>
      <c r="I144" s="29">
        <v>0</v>
      </c>
      <c r="J144" s="17" t="e">
        <v>#DIV/0!</v>
      </c>
    </row>
    <row r="145" spans="1:10" x14ac:dyDescent="0.3">
      <c r="A145" s="19">
        <v>45771.456365740742</v>
      </c>
      <c r="B145" s="43" t="s">
        <v>311</v>
      </c>
      <c r="C145" s="43" t="s">
        <v>740</v>
      </c>
      <c r="D145" s="43">
        <v>0</v>
      </c>
      <c r="H145" s="29">
        <v>0</v>
      </c>
      <c r="I145" s="29">
        <v>0</v>
      </c>
      <c r="J145" s="17" t="e">
        <v>#DIV/0!</v>
      </c>
    </row>
    <row r="146" spans="1:10" x14ac:dyDescent="0.3">
      <c r="A146" s="19">
        <v>45771.456365740742</v>
      </c>
      <c r="B146" s="43" t="s">
        <v>311</v>
      </c>
      <c r="C146" s="43" t="s">
        <v>741</v>
      </c>
      <c r="D146" s="43">
        <v>15078</v>
      </c>
      <c r="H146" s="29">
        <v>0</v>
      </c>
      <c r="I146" s="29">
        <v>0</v>
      </c>
      <c r="J146" s="17" t="e">
        <v>#DIV/0!</v>
      </c>
    </row>
    <row r="147" spans="1:10" x14ac:dyDescent="0.3">
      <c r="A147" s="19">
        <v>45771.456365740742</v>
      </c>
      <c r="B147" s="43" t="s">
        <v>311</v>
      </c>
      <c r="C147" s="43" t="s">
        <v>742</v>
      </c>
      <c r="D147" s="43">
        <v>11775.227452768782</v>
      </c>
      <c r="H147" s="29">
        <v>0</v>
      </c>
      <c r="I147" s="29">
        <v>0</v>
      </c>
      <c r="J147" s="17" t="e">
        <v>#DIV/0!</v>
      </c>
    </row>
    <row r="148" spans="1:10" x14ac:dyDescent="0.3">
      <c r="A148" s="19">
        <v>45771.456365740742</v>
      </c>
      <c r="B148" s="43" t="s">
        <v>311</v>
      </c>
      <c r="C148" s="43" t="s">
        <v>743</v>
      </c>
      <c r="D148" s="43">
        <v>0</v>
      </c>
      <c r="H148" s="29">
        <v>0</v>
      </c>
      <c r="I148" s="29">
        <v>0</v>
      </c>
      <c r="J148" s="17" t="e">
        <v>#DIV/0!</v>
      </c>
    </row>
    <row r="149" spans="1:10" x14ac:dyDescent="0.3">
      <c r="A149" s="19">
        <v>45771.456365740742</v>
      </c>
      <c r="B149" s="43" t="s">
        <v>311</v>
      </c>
      <c r="C149" s="43" t="s">
        <v>744</v>
      </c>
      <c r="D149" s="43">
        <v>0</v>
      </c>
      <c r="H149" s="29">
        <v>0</v>
      </c>
      <c r="I149" s="29">
        <v>0</v>
      </c>
      <c r="J149" s="17" t="e">
        <v>#DIV/0!</v>
      </c>
    </row>
    <row r="150" spans="1:10" x14ac:dyDescent="0.3">
      <c r="A150" s="19">
        <v>45771.456990740742</v>
      </c>
      <c r="B150" s="43" t="s">
        <v>329</v>
      </c>
      <c r="C150" s="43" t="s">
        <v>740</v>
      </c>
      <c r="D150" s="43">
        <v>0</v>
      </c>
      <c r="H150" s="29">
        <v>0</v>
      </c>
      <c r="I150" s="29">
        <v>0</v>
      </c>
      <c r="J150" s="17" t="e">
        <v>#DIV/0!</v>
      </c>
    </row>
    <row r="151" spans="1:10" x14ac:dyDescent="0.3">
      <c r="A151" s="19">
        <v>45771.456990740742</v>
      </c>
      <c r="B151" s="43" t="s">
        <v>329</v>
      </c>
      <c r="C151" s="43" t="s">
        <v>741</v>
      </c>
      <c r="D151" s="43">
        <v>0</v>
      </c>
      <c r="H151" s="29">
        <v>0</v>
      </c>
      <c r="I151" s="29">
        <v>0</v>
      </c>
      <c r="J151" s="17" t="e">
        <v>#DIV/0!</v>
      </c>
    </row>
    <row r="152" spans="1:10" x14ac:dyDescent="0.3">
      <c r="A152" s="19">
        <v>45771.456990740742</v>
      </c>
      <c r="B152" s="43" t="s">
        <v>329</v>
      </c>
      <c r="C152" s="43" t="s">
        <v>742</v>
      </c>
      <c r="D152" s="43">
        <v>34000</v>
      </c>
      <c r="H152" s="29">
        <v>0</v>
      </c>
      <c r="I152" s="29">
        <v>0</v>
      </c>
      <c r="J152" s="17" t="e">
        <v>#DIV/0!</v>
      </c>
    </row>
    <row r="153" spans="1:10" x14ac:dyDescent="0.3">
      <c r="A153" s="19">
        <v>45771.456990740742</v>
      </c>
      <c r="B153" s="43" t="s">
        <v>329</v>
      </c>
      <c r="C153" s="43" t="s">
        <v>743</v>
      </c>
      <c r="D153" s="43">
        <v>0</v>
      </c>
      <c r="H153" s="29">
        <v>0</v>
      </c>
      <c r="I153" s="29">
        <v>0</v>
      </c>
      <c r="J153" s="17" t="e">
        <v>#DIV/0!</v>
      </c>
    </row>
    <row r="154" spans="1:10" x14ac:dyDescent="0.3">
      <c r="A154" s="19">
        <v>45771.456990740742</v>
      </c>
      <c r="B154" s="43" t="s">
        <v>329</v>
      </c>
      <c r="C154" s="43" t="s">
        <v>744</v>
      </c>
      <c r="D154" s="43">
        <v>0</v>
      </c>
      <c r="H154" s="29">
        <v>0</v>
      </c>
      <c r="I154" s="29">
        <v>0</v>
      </c>
      <c r="J154" s="17" t="e">
        <v>#DIV/0!</v>
      </c>
    </row>
    <row r="155" spans="1:10" x14ac:dyDescent="0.3">
      <c r="A155" s="19">
        <v>45771.488935185182</v>
      </c>
      <c r="B155" s="43" t="s">
        <v>329</v>
      </c>
      <c r="C155" s="43" t="s">
        <v>740</v>
      </c>
      <c r="D155" s="43">
        <v>0</v>
      </c>
      <c r="H155" s="29">
        <v>0</v>
      </c>
      <c r="I155" s="29">
        <v>0</v>
      </c>
      <c r="J155" s="17" t="e">
        <v>#DIV/0!</v>
      </c>
    </row>
    <row r="156" spans="1:10" x14ac:dyDescent="0.3">
      <c r="A156" s="19">
        <v>45771.488935185182</v>
      </c>
      <c r="B156" s="43" t="s">
        <v>329</v>
      </c>
      <c r="C156" t="s">
        <v>741</v>
      </c>
      <c r="D156" s="13">
        <v>0</v>
      </c>
      <c r="H156" s="29">
        <v>0</v>
      </c>
      <c r="I156" s="29">
        <v>0</v>
      </c>
      <c r="J156" s="17" t="e">
        <v>#DIV/0!</v>
      </c>
    </row>
    <row r="157" spans="1:10" x14ac:dyDescent="0.3">
      <c r="A157" s="19">
        <v>45771.488935185182</v>
      </c>
      <c r="B157" s="43" t="s">
        <v>329</v>
      </c>
      <c r="C157" t="s">
        <v>742</v>
      </c>
      <c r="D157" s="13">
        <v>34000</v>
      </c>
      <c r="H157" s="29">
        <v>0</v>
      </c>
      <c r="I157" s="29">
        <v>0</v>
      </c>
      <c r="J157" s="17" t="e">
        <v>#DIV/0!</v>
      </c>
    </row>
    <row r="158" spans="1:10" x14ac:dyDescent="0.3">
      <c r="A158" s="19">
        <v>45771.488935185182</v>
      </c>
      <c r="B158" s="43" t="s">
        <v>329</v>
      </c>
      <c r="C158" t="s">
        <v>743</v>
      </c>
      <c r="D158" s="13">
        <v>0</v>
      </c>
      <c r="H158" s="29">
        <v>0</v>
      </c>
      <c r="I158" s="29">
        <v>0</v>
      </c>
      <c r="J158" s="17" t="e">
        <v>#DIV/0!</v>
      </c>
    </row>
    <row r="159" spans="1:10" x14ac:dyDescent="0.3">
      <c r="A159" s="19">
        <v>45771.488935185182</v>
      </c>
      <c r="B159" s="43" t="s">
        <v>329</v>
      </c>
      <c r="C159" t="s">
        <v>744</v>
      </c>
      <c r="D159" s="13">
        <v>0</v>
      </c>
      <c r="H159" s="29">
        <v>0</v>
      </c>
      <c r="I159" s="29">
        <v>0</v>
      </c>
      <c r="J159" s="17" t="e">
        <v>#DIV/0!</v>
      </c>
    </row>
    <row r="160" spans="1:10" x14ac:dyDescent="0.3">
      <c r="A160" s="19">
        <v>45771.49318287037</v>
      </c>
      <c r="B160" s="43" t="s">
        <v>332</v>
      </c>
      <c r="C160" t="s">
        <v>740</v>
      </c>
      <c r="D160" s="13">
        <v>2921.3906311460614</v>
      </c>
      <c r="H160" s="29">
        <v>0</v>
      </c>
      <c r="I160" s="29">
        <v>0</v>
      </c>
      <c r="J160" s="17" t="e">
        <v>#DIV/0!</v>
      </c>
    </row>
    <row r="161" spans="1:13" x14ac:dyDescent="0.3">
      <c r="A161" s="19">
        <v>45771.49318287037</v>
      </c>
      <c r="B161" s="43" t="s">
        <v>332</v>
      </c>
      <c r="C161" t="s">
        <v>741</v>
      </c>
      <c r="D161" s="13">
        <v>21092.601563685548</v>
      </c>
      <c r="H161" s="29">
        <v>0</v>
      </c>
      <c r="I161" s="29">
        <v>0</v>
      </c>
      <c r="J161" s="17" t="e">
        <v>#DIV/0!</v>
      </c>
    </row>
    <row r="162" spans="1:13" x14ac:dyDescent="0.3">
      <c r="A162" s="19">
        <v>45771.49318287037</v>
      </c>
      <c r="B162" s="43" t="s">
        <v>332</v>
      </c>
      <c r="C162" t="s">
        <v>742</v>
      </c>
      <c r="D162" s="13">
        <v>31526.570903513635</v>
      </c>
      <c r="H162" s="29">
        <v>0</v>
      </c>
      <c r="I162" s="29">
        <v>0</v>
      </c>
      <c r="J162" s="17" t="e">
        <v>#DIV/0!</v>
      </c>
    </row>
    <row r="163" spans="1:13" x14ac:dyDescent="0.3">
      <c r="A163" s="19">
        <v>45771.49318287037</v>
      </c>
      <c r="B163" s="43" t="s">
        <v>332</v>
      </c>
      <c r="C163" t="s">
        <v>743</v>
      </c>
      <c r="D163" s="13">
        <v>0</v>
      </c>
      <c r="H163" s="29">
        <v>0</v>
      </c>
      <c r="I163" s="29">
        <v>0</v>
      </c>
      <c r="J163" s="17" t="e">
        <v>#DIV/0!</v>
      </c>
    </row>
    <row r="164" spans="1:13" x14ac:dyDescent="0.3">
      <c r="A164" s="19">
        <v>45771.49318287037</v>
      </c>
      <c r="B164" s="43" t="s">
        <v>332</v>
      </c>
      <c r="C164" t="s">
        <v>744</v>
      </c>
      <c r="D164" s="13">
        <v>4.5224769004997185</v>
      </c>
      <c r="H164" s="29">
        <v>0</v>
      </c>
      <c r="I164" s="29">
        <v>0</v>
      </c>
      <c r="J164" s="17" t="e">
        <v>#DIV/0!</v>
      </c>
    </row>
    <row r="165" spans="1:13" x14ac:dyDescent="0.3">
      <c r="A165" s="19">
        <v>45771.49318287037</v>
      </c>
      <c r="B165">
        <v>4510</v>
      </c>
      <c r="C165" t="s">
        <v>798</v>
      </c>
      <c r="K165" t="s">
        <v>829</v>
      </c>
      <c r="L165" t="s">
        <v>47</v>
      </c>
      <c r="M165" t="s">
        <v>830</v>
      </c>
    </row>
    <row r="166" spans="1:13" x14ac:dyDescent="0.3">
      <c r="A166" s="19">
        <v>45771.49318287037</v>
      </c>
      <c r="B166">
        <v>4510</v>
      </c>
      <c r="C166" t="s">
        <v>798</v>
      </c>
      <c r="L166">
        <v>1100</v>
      </c>
    </row>
    <row r="167" spans="1:13" x14ac:dyDescent="0.3">
      <c r="A167" s="19">
        <v>45771.493634259263</v>
      </c>
      <c r="B167" s="43" t="s">
        <v>332</v>
      </c>
      <c r="C167" t="s">
        <v>740</v>
      </c>
      <c r="D167" s="13">
        <v>2921.3906311460614</v>
      </c>
      <c r="H167" s="29">
        <v>0</v>
      </c>
      <c r="I167" s="29">
        <v>0</v>
      </c>
      <c r="J167" s="17" t="e">
        <v>#DIV/0!</v>
      </c>
    </row>
    <row r="168" spans="1:13" x14ac:dyDescent="0.3">
      <c r="A168" s="19">
        <v>45771.493634259263</v>
      </c>
      <c r="B168" s="43" t="s">
        <v>332</v>
      </c>
      <c r="C168" t="s">
        <v>741</v>
      </c>
      <c r="D168" s="13">
        <v>21092.601563685548</v>
      </c>
      <c r="H168" s="29">
        <v>0</v>
      </c>
      <c r="I168" s="29">
        <v>0</v>
      </c>
      <c r="J168" s="17" t="e">
        <v>#DIV/0!</v>
      </c>
    </row>
    <row r="169" spans="1:13" x14ac:dyDescent="0.3">
      <c r="A169" s="19">
        <v>45771.493634259263</v>
      </c>
      <c r="B169" s="43" t="s">
        <v>332</v>
      </c>
      <c r="C169" t="s">
        <v>742</v>
      </c>
      <c r="D169" s="13">
        <v>31526.570903513635</v>
      </c>
      <c r="E169" t="s">
        <v>831</v>
      </c>
      <c r="H169" s="29">
        <v>0</v>
      </c>
      <c r="I169" s="29">
        <v>0</v>
      </c>
      <c r="J169" s="17" t="e">
        <v>#DIV/0!</v>
      </c>
    </row>
    <row r="170" spans="1:13" x14ac:dyDescent="0.3">
      <c r="A170" s="19">
        <v>45771.493634259263</v>
      </c>
      <c r="B170" s="43" t="s">
        <v>332</v>
      </c>
      <c r="C170" t="s">
        <v>743</v>
      </c>
      <c r="D170" s="13">
        <v>0</v>
      </c>
      <c r="H170" s="29">
        <v>0</v>
      </c>
      <c r="I170" s="29">
        <v>0</v>
      </c>
      <c r="J170" s="17" t="e">
        <v>#DIV/0!</v>
      </c>
    </row>
    <row r="171" spans="1:13" x14ac:dyDescent="0.3">
      <c r="A171" s="19">
        <v>45771.493634259263</v>
      </c>
      <c r="B171" s="43" t="s">
        <v>332</v>
      </c>
      <c r="C171" t="s">
        <v>744</v>
      </c>
      <c r="D171" s="13">
        <v>4.5224769004997185</v>
      </c>
      <c r="H171" s="29">
        <v>0</v>
      </c>
      <c r="I171" s="29">
        <v>0</v>
      </c>
      <c r="J171" s="17" t="e">
        <v>#DIV/0!</v>
      </c>
    </row>
    <row r="172" spans="1:13" x14ac:dyDescent="0.3">
      <c r="A172" s="19">
        <v>45771.493634259263</v>
      </c>
      <c r="B172">
        <v>4510</v>
      </c>
      <c r="C172" t="s">
        <v>798</v>
      </c>
      <c r="K172" t="s">
        <v>829</v>
      </c>
      <c r="L172" t="s">
        <v>47</v>
      </c>
      <c r="M172" t="s">
        <v>830</v>
      </c>
    </row>
    <row r="173" spans="1:13" x14ac:dyDescent="0.3">
      <c r="A173" s="19">
        <v>45771.493634259263</v>
      </c>
      <c r="B173">
        <v>4510</v>
      </c>
      <c r="C173" t="s">
        <v>798</v>
      </c>
      <c r="L173">
        <v>1100</v>
      </c>
    </row>
    <row r="174" spans="1:13" x14ac:dyDescent="0.3">
      <c r="A174" s="19">
        <v>45771.493993055556</v>
      </c>
      <c r="B174" s="43" t="s">
        <v>340</v>
      </c>
      <c r="C174" t="s">
        <v>740</v>
      </c>
      <c r="D174" s="13">
        <v>0</v>
      </c>
      <c r="H174" s="29">
        <v>0</v>
      </c>
      <c r="I174" s="29">
        <v>0</v>
      </c>
      <c r="J174" s="17" t="e">
        <v>#DIV/0!</v>
      </c>
    </row>
    <row r="175" spans="1:13" x14ac:dyDescent="0.3">
      <c r="A175" s="19">
        <v>45771.493993055556</v>
      </c>
      <c r="B175" s="43" t="s">
        <v>340</v>
      </c>
      <c r="C175" t="s">
        <v>741</v>
      </c>
      <c r="D175" s="13">
        <v>6924.7949810667751</v>
      </c>
      <c r="H175" s="29">
        <v>0</v>
      </c>
      <c r="I175" s="29">
        <v>0</v>
      </c>
      <c r="J175" s="17" t="e">
        <v>#DIV/0!</v>
      </c>
    </row>
    <row r="176" spans="1:13" x14ac:dyDescent="0.3">
      <c r="A176" s="19">
        <v>45771.493993055556</v>
      </c>
      <c r="B176" s="43" t="s">
        <v>340</v>
      </c>
      <c r="C176" t="s">
        <v>742</v>
      </c>
      <c r="D176" s="13">
        <v>16149.269787833075</v>
      </c>
      <c r="H176" s="29">
        <v>0</v>
      </c>
      <c r="I176" s="29">
        <v>0</v>
      </c>
      <c r="J176" s="17" t="e">
        <v>#DIV/0!</v>
      </c>
    </row>
    <row r="177" spans="1:10" x14ac:dyDescent="0.3">
      <c r="A177" s="19">
        <v>45771.493993055556</v>
      </c>
      <c r="B177" s="43" t="s">
        <v>340</v>
      </c>
      <c r="C177" t="s">
        <v>743</v>
      </c>
      <c r="D177" s="13">
        <v>0</v>
      </c>
      <c r="H177" s="29">
        <v>0</v>
      </c>
      <c r="I177" s="29">
        <v>0</v>
      </c>
      <c r="J177" s="17" t="e">
        <v>#DIV/0!</v>
      </c>
    </row>
    <row r="178" spans="1:10" x14ac:dyDescent="0.3">
      <c r="A178" s="19">
        <v>45771.493993055556</v>
      </c>
      <c r="B178" s="43" t="s">
        <v>340</v>
      </c>
      <c r="C178" t="s">
        <v>744</v>
      </c>
      <c r="D178" s="13">
        <v>0</v>
      </c>
      <c r="H178" s="29">
        <v>0</v>
      </c>
      <c r="I178" s="29">
        <v>0</v>
      </c>
      <c r="J178" s="17" t="e">
        <v>#DIV/0!</v>
      </c>
    </row>
    <row r="179" spans="1:10" x14ac:dyDescent="0.3">
      <c r="A179" s="19">
        <v>45771.494166666664</v>
      </c>
      <c r="B179" s="43" t="s">
        <v>340</v>
      </c>
      <c r="C179" t="s">
        <v>740</v>
      </c>
      <c r="D179" s="13">
        <v>0</v>
      </c>
      <c r="H179" s="29">
        <v>0</v>
      </c>
      <c r="I179" s="29">
        <v>0</v>
      </c>
      <c r="J179" s="17" t="e">
        <v>#DIV/0!</v>
      </c>
    </row>
    <row r="180" spans="1:10" x14ac:dyDescent="0.3">
      <c r="A180" s="19">
        <v>45771.494166666664</v>
      </c>
      <c r="B180" s="43" t="s">
        <v>340</v>
      </c>
      <c r="C180" t="s">
        <v>741</v>
      </c>
      <c r="D180" s="13">
        <v>6924.7949810667751</v>
      </c>
      <c r="H180" s="29">
        <v>0</v>
      </c>
      <c r="I180" s="29">
        <v>0</v>
      </c>
      <c r="J180" s="17" t="e">
        <v>#DIV/0!</v>
      </c>
    </row>
    <row r="181" spans="1:10" x14ac:dyDescent="0.3">
      <c r="A181" s="19">
        <v>45771.494166666664</v>
      </c>
      <c r="B181" s="43" t="s">
        <v>340</v>
      </c>
      <c r="C181" t="s">
        <v>742</v>
      </c>
      <c r="D181" s="13">
        <v>16149.269787833075</v>
      </c>
      <c r="F181" t="s">
        <v>832</v>
      </c>
      <c r="H181" s="29">
        <v>0</v>
      </c>
      <c r="I181" s="29">
        <v>0</v>
      </c>
      <c r="J181" s="17" t="e">
        <v>#DIV/0!</v>
      </c>
    </row>
    <row r="182" spans="1:10" x14ac:dyDescent="0.3">
      <c r="A182" s="19">
        <v>45771.494166666664</v>
      </c>
      <c r="B182" s="43" t="s">
        <v>340</v>
      </c>
      <c r="C182" t="s">
        <v>743</v>
      </c>
      <c r="D182" s="13">
        <v>0</v>
      </c>
      <c r="H182" s="29">
        <v>0</v>
      </c>
      <c r="I182" s="29">
        <v>0</v>
      </c>
      <c r="J182" s="17" t="e">
        <v>#DIV/0!</v>
      </c>
    </row>
    <row r="183" spans="1:10" x14ac:dyDescent="0.3">
      <c r="A183" s="19">
        <v>45771.494166666664</v>
      </c>
      <c r="B183" s="43" t="s">
        <v>340</v>
      </c>
      <c r="C183" t="s">
        <v>744</v>
      </c>
      <c r="D183" s="13">
        <v>0</v>
      </c>
      <c r="H183" s="29">
        <v>0</v>
      </c>
      <c r="I183" s="29">
        <v>0</v>
      </c>
      <c r="J183" s="17" t="e">
        <v>#DIV/0!</v>
      </c>
    </row>
    <row r="184" spans="1:10" x14ac:dyDescent="0.3">
      <c r="A184" s="19">
        <v>45771.494537037041</v>
      </c>
      <c r="B184" s="43" t="s">
        <v>348</v>
      </c>
      <c r="C184" t="s">
        <v>740</v>
      </c>
      <c r="D184" s="13">
        <v>491.30207278908074</v>
      </c>
      <c r="H184" s="29">
        <v>0</v>
      </c>
      <c r="I184" s="29">
        <v>0</v>
      </c>
      <c r="J184" s="17" t="e">
        <v>#DIV/0!</v>
      </c>
    </row>
    <row r="185" spans="1:10" x14ac:dyDescent="0.3">
      <c r="A185" s="19">
        <v>45771.494537037041</v>
      </c>
      <c r="B185" s="43" t="s">
        <v>348</v>
      </c>
      <c r="C185" t="s">
        <v>741</v>
      </c>
      <c r="D185" s="13">
        <v>3585.1987634584102</v>
      </c>
      <c r="H185" s="29">
        <v>0</v>
      </c>
      <c r="I185" s="29">
        <v>0</v>
      </c>
      <c r="J185" s="17" t="e">
        <v>#DIV/0!</v>
      </c>
    </row>
    <row r="186" spans="1:10" x14ac:dyDescent="0.3">
      <c r="A186" s="19">
        <v>45771.494537037041</v>
      </c>
      <c r="B186" s="43" t="s">
        <v>348</v>
      </c>
      <c r="C186" t="s">
        <v>742</v>
      </c>
      <c r="D186" s="13">
        <v>7003.2093708969833</v>
      </c>
      <c r="F186" t="s">
        <v>832</v>
      </c>
      <c r="H186" s="29">
        <v>0</v>
      </c>
      <c r="I186" s="29">
        <v>0</v>
      </c>
      <c r="J186" s="17" t="e">
        <v>#DIV/0!</v>
      </c>
    </row>
    <row r="187" spans="1:10" x14ac:dyDescent="0.3">
      <c r="A187" s="19">
        <v>45771.494537037041</v>
      </c>
      <c r="B187" s="43" t="s">
        <v>348</v>
      </c>
      <c r="C187" t="s">
        <v>743</v>
      </c>
      <c r="D187" s="13">
        <v>0</v>
      </c>
      <c r="H187" s="29">
        <v>0</v>
      </c>
      <c r="I187" s="29">
        <v>0</v>
      </c>
      <c r="J187" s="17" t="e">
        <v>#DIV/0!</v>
      </c>
    </row>
    <row r="188" spans="1:10" x14ac:dyDescent="0.3">
      <c r="A188" s="19">
        <v>45771.494537037041</v>
      </c>
      <c r="B188" s="43" t="s">
        <v>348</v>
      </c>
      <c r="C188" t="s">
        <v>744</v>
      </c>
      <c r="D188" s="13">
        <v>0</v>
      </c>
      <c r="H188" s="29">
        <v>0</v>
      </c>
      <c r="I188" s="29">
        <v>0</v>
      </c>
      <c r="J188" s="17" t="e">
        <v>#DIV/0!</v>
      </c>
    </row>
    <row r="189" spans="1:10" x14ac:dyDescent="0.3">
      <c r="A189" s="19">
        <v>45771.495011574072</v>
      </c>
      <c r="B189" s="43" t="s">
        <v>351</v>
      </c>
      <c r="C189" t="s">
        <v>740</v>
      </c>
      <c r="D189" s="13">
        <v>0</v>
      </c>
      <c r="H189" s="29">
        <v>0</v>
      </c>
      <c r="I189" s="29">
        <v>0</v>
      </c>
      <c r="J189" s="17" t="e">
        <v>#DIV/0!</v>
      </c>
    </row>
    <row r="190" spans="1:10" x14ac:dyDescent="0.3">
      <c r="A190" s="19">
        <v>45771.495011574072</v>
      </c>
      <c r="B190" s="43" t="s">
        <v>351</v>
      </c>
      <c r="C190" t="s">
        <v>741</v>
      </c>
      <c r="D190" s="13">
        <v>2513.4037366344437</v>
      </c>
      <c r="H190" s="29">
        <v>0</v>
      </c>
      <c r="I190" s="29">
        <v>0</v>
      </c>
      <c r="J190" s="17" t="e">
        <v>#DIV/0!</v>
      </c>
    </row>
    <row r="191" spans="1:10" x14ac:dyDescent="0.3">
      <c r="A191" s="19">
        <v>45771.495011574072</v>
      </c>
      <c r="B191" s="43" t="s">
        <v>351</v>
      </c>
      <c r="C191" t="s">
        <v>742</v>
      </c>
      <c r="D191" s="13">
        <v>3811.2223357922398</v>
      </c>
      <c r="H191" s="29">
        <v>0</v>
      </c>
      <c r="I191" s="29">
        <v>0</v>
      </c>
      <c r="J191" s="17" t="e">
        <v>#DIV/0!</v>
      </c>
    </row>
    <row r="192" spans="1:10" x14ac:dyDescent="0.3">
      <c r="A192" s="19">
        <v>45771.495011574072</v>
      </c>
      <c r="B192" s="43" t="s">
        <v>351</v>
      </c>
      <c r="C192" t="s">
        <v>743</v>
      </c>
      <c r="D192" s="13">
        <v>0</v>
      </c>
      <c r="H192" s="29">
        <v>0</v>
      </c>
      <c r="I192" s="29">
        <v>0</v>
      </c>
      <c r="J192" s="17" t="e">
        <v>#DIV/0!</v>
      </c>
    </row>
    <row r="193" spans="1:18" x14ac:dyDescent="0.3">
      <c r="A193" s="19">
        <v>45771.495011574072</v>
      </c>
      <c r="B193" s="43" t="s">
        <v>351</v>
      </c>
      <c r="C193" t="s">
        <v>744</v>
      </c>
      <c r="D193" s="13">
        <v>0</v>
      </c>
      <c r="H193" s="29">
        <v>0</v>
      </c>
      <c r="I193" s="29">
        <v>0</v>
      </c>
      <c r="J193" s="17" t="e">
        <v>#DIV/0!</v>
      </c>
    </row>
    <row r="194" spans="1:18" x14ac:dyDescent="0.3">
      <c r="A194" s="19">
        <v>45771.497465277775</v>
      </c>
      <c r="B194" s="43" t="s">
        <v>353</v>
      </c>
      <c r="C194" t="s">
        <v>740</v>
      </c>
      <c r="D194" s="13">
        <v>0</v>
      </c>
      <c r="H194" s="29">
        <v>0</v>
      </c>
      <c r="I194" s="29">
        <v>0</v>
      </c>
      <c r="J194" s="17" t="e">
        <v>#DIV/0!</v>
      </c>
    </row>
    <row r="195" spans="1:18" x14ac:dyDescent="0.3">
      <c r="A195" s="19">
        <v>45771.497465277775</v>
      </c>
      <c r="B195" s="43" t="s">
        <v>353</v>
      </c>
      <c r="C195" t="s">
        <v>741</v>
      </c>
      <c r="D195" s="13">
        <v>0</v>
      </c>
      <c r="H195" s="29">
        <v>0</v>
      </c>
      <c r="I195" s="29">
        <v>0</v>
      </c>
      <c r="J195" s="17" t="e">
        <v>#DIV/0!</v>
      </c>
    </row>
    <row r="196" spans="1:18" x14ac:dyDescent="0.3">
      <c r="A196" s="19">
        <v>45771.497465277775</v>
      </c>
      <c r="B196" s="43" t="s">
        <v>353</v>
      </c>
      <c r="C196" t="s">
        <v>742</v>
      </c>
      <c r="D196" s="13">
        <v>11844</v>
      </c>
      <c r="F196" t="s">
        <v>833</v>
      </c>
      <c r="H196" s="29">
        <v>0</v>
      </c>
      <c r="I196" s="29">
        <v>0</v>
      </c>
      <c r="J196" s="17" t="e">
        <v>#DIV/0!</v>
      </c>
    </row>
    <row r="197" spans="1:18" x14ac:dyDescent="0.3">
      <c r="A197" s="19">
        <v>45771.497465277775</v>
      </c>
      <c r="B197" s="43" t="s">
        <v>353</v>
      </c>
      <c r="C197" t="s">
        <v>743</v>
      </c>
      <c r="D197" s="13">
        <v>0</v>
      </c>
      <c r="H197" s="29">
        <v>0</v>
      </c>
      <c r="I197" s="29">
        <v>0</v>
      </c>
      <c r="J197" s="17" t="e">
        <v>#DIV/0!</v>
      </c>
    </row>
    <row r="198" spans="1:18" x14ac:dyDescent="0.3">
      <c r="A198" s="19">
        <v>45771.497465277775</v>
      </c>
      <c r="B198" s="43" t="s">
        <v>353</v>
      </c>
      <c r="C198" t="s">
        <v>744</v>
      </c>
      <c r="D198" s="13">
        <v>0</v>
      </c>
      <c r="H198" s="29">
        <v>0</v>
      </c>
      <c r="I198" s="29">
        <v>0</v>
      </c>
      <c r="J198" s="17" t="e">
        <v>#DIV/0!</v>
      </c>
    </row>
    <row r="199" spans="1:18" x14ac:dyDescent="0.3">
      <c r="A199" s="19">
        <v>45771.502060185187</v>
      </c>
      <c r="B199" s="43" t="s">
        <v>397</v>
      </c>
      <c r="C199" t="s">
        <v>740</v>
      </c>
      <c r="D199" s="13">
        <v>0</v>
      </c>
      <c r="H199" s="29">
        <v>0</v>
      </c>
      <c r="I199" s="29">
        <v>0</v>
      </c>
      <c r="J199" s="17" t="e">
        <v>#DIV/0!</v>
      </c>
    </row>
    <row r="200" spans="1:18" x14ac:dyDescent="0.3">
      <c r="A200" s="19">
        <v>45771.502060185187</v>
      </c>
      <c r="B200" s="43" t="s">
        <v>397</v>
      </c>
      <c r="C200" t="s">
        <v>741</v>
      </c>
      <c r="D200" s="13">
        <v>0</v>
      </c>
      <c r="H200" s="29">
        <v>0</v>
      </c>
      <c r="I200" s="29">
        <v>0</v>
      </c>
      <c r="J200" s="17" t="e">
        <v>#DIV/0!</v>
      </c>
    </row>
    <row r="201" spans="1:18" x14ac:dyDescent="0.3">
      <c r="A201" s="19">
        <v>45771.502060185187</v>
      </c>
      <c r="B201" s="43" t="s">
        <v>397</v>
      </c>
      <c r="C201" t="s">
        <v>742</v>
      </c>
      <c r="D201" s="13">
        <v>7500</v>
      </c>
      <c r="E201" t="s">
        <v>834</v>
      </c>
      <c r="H201" s="29">
        <v>0</v>
      </c>
      <c r="I201" s="29">
        <v>0</v>
      </c>
      <c r="J201" s="17" t="e">
        <v>#DIV/0!</v>
      </c>
    </row>
    <row r="202" spans="1:18" x14ac:dyDescent="0.3">
      <c r="A202" s="19">
        <v>45771.502060185187</v>
      </c>
      <c r="B202" s="43" t="s">
        <v>397</v>
      </c>
      <c r="C202" t="s">
        <v>743</v>
      </c>
      <c r="D202" s="13">
        <v>0</v>
      </c>
      <c r="H202" s="29">
        <v>0</v>
      </c>
      <c r="I202" s="29">
        <v>0</v>
      </c>
      <c r="J202" s="17" t="e">
        <v>#DIV/0!</v>
      </c>
    </row>
    <row r="203" spans="1:18" x14ac:dyDescent="0.3">
      <c r="A203" s="19">
        <v>45771.502060185187</v>
      </c>
      <c r="B203" s="43" t="s">
        <v>397</v>
      </c>
      <c r="C203" t="s">
        <v>744</v>
      </c>
      <c r="D203" s="13">
        <v>0</v>
      </c>
      <c r="H203" s="29">
        <v>0</v>
      </c>
      <c r="I203" s="29">
        <v>0</v>
      </c>
      <c r="J203" s="17" t="e">
        <v>#DIV/0!</v>
      </c>
    </row>
    <row r="204" spans="1:18" x14ac:dyDescent="0.3">
      <c r="A204" s="19">
        <v>45771.502060185187</v>
      </c>
      <c r="B204">
        <v>5350</v>
      </c>
      <c r="C204" t="s">
        <v>798</v>
      </c>
      <c r="K204" t="s">
        <v>835</v>
      </c>
    </row>
    <row r="205" spans="1:18" x14ac:dyDescent="0.3">
      <c r="A205" s="19">
        <v>45771.502060185187</v>
      </c>
      <c r="B205">
        <v>5350</v>
      </c>
      <c r="C205" t="s">
        <v>798</v>
      </c>
      <c r="K205" t="s">
        <v>836</v>
      </c>
      <c r="L205" t="s">
        <v>837</v>
      </c>
    </row>
    <row r="206" spans="1:18" x14ac:dyDescent="0.3">
      <c r="A206" s="19">
        <v>45771.502060185187</v>
      </c>
      <c r="B206">
        <v>5350</v>
      </c>
      <c r="C206" t="s">
        <v>798</v>
      </c>
      <c r="K206" t="s">
        <v>838</v>
      </c>
      <c r="L206" t="s">
        <v>837</v>
      </c>
    </row>
    <row r="207" spans="1:18" x14ac:dyDescent="0.3">
      <c r="A207" s="19">
        <v>45771.502060185187</v>
      </c>
      <c r="B207">
        <v>5350</v>
      </c>
      <c r="C207" t="s">
        <v>799</v>
      </c>
      <c r="Q207" t="s">
        <v>839</v>
      </c>
      <c r="R207">
        <v>24</v>
      </c>
    </row>
    <row r="208" spans="1:18" x14ac:dyDescent="0.3">
      <c r="A208" s="19">
        <v>45771.503194444442</v>
      </c>
      <c r="B208" s="43" t="s">
        <v>400</v>
      </c>
      <c r="C208" t="s">
        <v>740</v>
      </c>
      <c r="D208" s="13">
        <v>726.25600000000009</v>
      </c>
      <c r="H208" s="29">
        <v>0</v>
      </c>
      <c r="I208" s="29">
        <v>0</v>
      </c>
      <c r="J208" s="17" t="e">
        <v>#DIV/0!</v>
      </c>
    </row>
    <row r="209" spans="1:18" x14ac:dyDescent="0.3">
      <c r="A209" s="19">
        <v>45771.503194444442</v>
      </c>
      <c r="B209" s="43" t="s">
        <v>400</v>
      </c>
      <c r="C209" t="s">
        <v>741</v>
      </c>
      <c r="D209" s="13">
        <v>524.58617600000002</v>
      </c>
      <c r="H209" s="29">
        <v>0</v>
      </c>
      <c r="I209" s="29">
        <v>0</v>
      </c>
      <c r="J209" s="17" t="e">
        <v>#DIV/0!</v>
      </c>
    </row>
    <row r="210" spans="1:18" x14ac:dyDescent="0.3">
      <c r="A210" s="19">
        <v>45771.503194444442</v>
      </c>
      <c r="B210" s="43" t="s">
        <v>400</v>
      </c>
      <c r="C210" t="s">
        <v>742</v>
      </c>
      <c r="D210" s="13">
        <v>18869.947649999998</v>
      </c>
      <c r="H210" s="29">
        <v>0</v>
      </c>
      <c r="I210" s="29">
        <v>0</v>
      </c>
      <c r="J210" s="17" t="e">
        <v>#DIV/0!</v>
      </c>
    </row>
    <row r="211" spans="1:18" x14ac:dyDescent="0.3">
      <c r="A211" s="19">
        <v>45771.503194444442</v>
      </c>
      <c r="B211" s="43" t="s">
        <v>400</v>
      </c>
      <c r="C211" t="s">
        <v>743</v>
      </c>
      <c r="D211" s="13">
        <v>0</v>
      </c>
      <c r="H211" s="29">
        <v>0</v>
      </c>
      <c r="I211" s="29">
        <v>0</v>
      </c>
      <c r="J211" s="17" t="e">
        <v>#DIV/0!</v>
      </c>
    </row>
    <row r="212" spans="1:18" x14ac:dyDescent="0.3">
      <c r="A212" s="19">
        <v>45771.503194444442</v>
      </c>
      <c r="B212" s="43" t="s">
        <v>400</v>
      </c>
      <c r="C212" t="s">
        <v>744</v>
      </c>
      <c r="D212" s="13">
        <v>0</v>
      </c>
      <c r="H212" s="29">
        <v>0</v>
      </c>
      <c r="I212" s="29">
        <v>0</v>
      </c>
      <c r="J212" s="17" t="e">
        <v>#DIV/0!</v>
      </c>
    </row>
    <row r="213" spans="1:18" x14ac:dyDescent="0.3">
      <c r="A213" s="19">
        <v>45771.503194444442</v>
      </c>
      <c r="B213">
        <v>5530</v>
      </c>
      <c r="C213" t="s">
        <v>799</v>
      </c>
      <c r="Q213" t="s">
        <v>840</v>
      </c>
      <c r="R213">
        <v>24</v>
      </c>
    </row>
    <row r="214" spans="1:18" x14ac:dyDescent="0.3">
      <c r="A214" s="19">
        <v>45771.505011574074</v>
      </c>
      <c r="B214" s="43" t="s">
        <v>410</v>
      </c>
      <c r="C214" t="s">
        <v>740</v>
      </c>
      <c r="D214" s="13">
        <v>0</v>
      </c>
      <c r="H214" s="29">
        <v>0</v>
      </c>
      <c r="I214" s="29">
        <v>0</v>
      </c>
      <c r="J214" s="17" t="e">
        <v>#DIV/0!</v>
      </c>
    </row>
    <row r="215" spans="1:18" x14ac:dyDescent="0.3">
      <c r="A215" s="19">
        <v>45771.505011574074</v>
      </c>
      <c r="B215" s="43" t="s">
        <v>410</v>
      </c>
      <c r="C215" t="s">
        <v>741</v>
      </c>
      <c r="D215" s="13">
        <v>12769.030191400643</v>
      </c>
      <c r="H215" s="29">
        <v>0</v>
      </c>
      <c r="I215" s="29">
        <v>0</v>
      </c>
      <c r="J215" s="17" t="e">
        <v>#DIV/0!</v>
      </c>
    </row>
    <row r="216" spans="1:18" x14ac:dyDescent="0.3">
      <c r="A216" s="19">
        <v>45771.505011574074</v>
      </c>
      <c r="B216" s="43" t="s">
        <v>410</v>
      </c>
      <c r="C216" t="s">
        <v>742</v>
      </c>
      <c r="D216" s="13">
        <v>13523.791669091623</v>
      </c>
      <c r="E216" t="s">
        <v>841</v>
      </c>
      <c r="H216" s="29">
        <v>0</v>
      </c>
      <c r="I216" s="29">
        <v>0</v>
      </c>
      <c r="J216" s="17" t="e">
        <v>#DIV/0!</v>
      </c>
    </row>
    <row r="217" spans="1:18" x14ac:dyDescent="0.3">
      <c r="A217" s="19">
        <v>45771.505011574074</v>
      </c>
      <c r="B217" s="43" t="s">
        <v>410</v>
      </c>
      <c r="C217" t="s">
        <v>743</v>
      </c>
      <c r="D217" s="13">
        <v>170</v>
      </c>
      <c r="H217" s="29">
        <v>0</v>
      </c>
      <c r="I217" s="29">
        <v>0</v>
      </c>
      <c r="J217" s="17" t="e">
        <v>#DIV/0!</v>
      </c>
    </row>
    <row r="218" spans="1:18" x14ac:dyDescent="0.3">
      <c r="A218" s="19">
        <v>45771.505011574074</v>
      </c>
      <c r="B218" s="43" t="s">
        <v>410</v>
      </c>
      <c r="C218" t="s">
        <v>744</v>
      </c>
      <c r="D218" s="13">
        <v>0</v>
      </c>
      <c r="H218" s="29">
        <v>0</v>
      </c>
      <c r="I218" s="29">
        <v>0</v>
      </c>
      <c r="J218" s="17" t="e">
        <v>#DIV/0!</v>
      </c>
    </row>
    <row r="219" spans="1:18" x14ac:dyDescent="0.3">
      <c r="A219" s="19">
        <v>45771.506122685183</v>
      </c>
      <c r="B219" s="43" t="s">
        <v>410</v>
      </c>
      <c r="C219" t="s">
        <v>740</v>
      </c>
      <c r="D219" s="13">
        <v>0</v>
      </c>
      <c r="H219" s="29">
        <v>0</v>
      </c>
      <c r="I219" s="29">
        <v>0</v>
      </c>
      <c r="J219" s="17" t="e">
        <v>#DIV/0!</v>
      </c>
    </row>
    <row r="220" spans="1:18" x14ac:dyDescent="0.3">
      <c r="A220" s="19">
        <v>45771.506122685183</v>
      </c>
      <c r="B220" s="43" t="s">
        <v>410</v>
      </c>
      <c r="C220" t="s">
        <v>741</v>
      </c>
      <c r="D220" s="13">
        <v>12769.030191400643</v>
      </c>
      <c r="H220" s="29">
        <v>0</v>
      </c>
      <c r="I220" s="29">
        <v>0</v>
      </c>
      <c r="J220" s="17" t="e">
        <v>#DIV/0!</v>
      </c>
    </row>
    <row r="221" spans="1:18" x14ac:dyDescent="0.3">
      <c r="A221" s="19">
        <v>45771.506122685183</v>
      </c>
      <c r="B221" s="43" t="s">
        <v>410</v>
      </c>
      <c r="C221" t="s">
        <v>742</v>
      </c>
      <c r="D221" s="13">
        <v>13523.791669091623</v>
      </c>
      <c r="E221" t="s">
        <v>841</v>
      </c>
      <c r="H221" s="29">
        <v>0</v>
      </c>
      <c r="I221" s="29">
        <v>0</v>
      </c>
      <c r="J221" s="17" t="e">
        <v>#DIV/0!</v>
      </c>
    </row>
    <row r="222" spans="1:18" x14ac:dyDescent="0.3">
      <c r="A222" s="19">
        <v>45771.506122685183</v>
      </c>
      <c r="B222" s="43" t="s">
        <v>410</v>
      </c>
      <c r="C222" t="s">
        <v>743</v>
      </c>
      <c r="D222" s="13">
        <v>170</v>
      </c>
      <c r="H222" s="29">
        <v>0</v>
      </c>
      <c r="I222" s="29">
        <v>0</v>
      </c>
      <c r="J222" s="17" t="e">
        <v>#DIV/0!</v>
      </c>
    </row>
    <row r="223" spans="1:18" x14ac:dyDescent="0.3">
      <c r="A223" s="19">
        <v>45771.506122685183</v>
      </c>
      <c r="B223" s="43" t="s">
        <v>410</v>
      </c>
      <c r="C223" t="s">
        <v>744</v>
      </c>
      <c r="D223" s="13">
        <v>0</v>
      </c>
      <c r="H223" s="29">
        <v>0</v>
      </c>
      <c r="I223" s="29">
        <v>0</v>
      </c>
      <c r="J223" s="17" t="e">
        <v>#DIV/0!</v>
      </c>
    </row>
    <row r="224" spans="1:18" x14ac:dyDescent="0.3">
      <c r="A224" s="19">
        <v>45771.506851851853</v>
      </c>
      <c r="B224" s="43" t="s">
        <v>414</v>
      </c>
      <c r="C224" t="s">
        <v>740</v>
      </c>
      <c r="D224" s="13">
        <v>0</v>
      </c>
      <c r="H224" s="29">
        <v>0</v>
      </c>
      <c r="I224" s="29">
        <v>0</v>
      </c>
      <c r="J224" s="17" t="e">
        <v>#DIV/0!</v>
      </c>
    </row>
    <row r="225" spans="1:18" x14ac:dyDescent="0.3">
      <c r="A225" s="19">
        <v>45771.506851851853</v>
      </c>
      <c r="B225" s="43" t="s">
        <v>414</v>
      </c>
      <c r="C225" t="s">
        <v>741</v>
      </c>
      <c r="D225" s="13">
        <v>0</v>
      </c>
      <c r="H225" s="29">
        <v>0</v>
      </c>
      <c r="I225" s="29">
        <v>0</v>
      </c>
      <c r="J225" s="17" t="e">
        <v>#DIV/0!</v>
      </c>
    </row>
    <row r="226" spans="1:18" x14ac:dyDescent="0.3">
      <c r="A226" s="19">
        <v>45771.506851851853</v>
      </c>
      <c r="B226" s="43" t="s">
        <v>414</v>
      </c>
      <c r="C226" t="s">
        <v>742</v>
      </c>
      <c r="D226" s="13">
        <v>92500.000000000015</v>
      </c>
      <c r="F226" t="s">
        <v>842</v>
      </c>
      <c r="H226" s="29">
        <v>0</v>
      </c>
      <c r="I226" s="29">
        <v>0</v>
      </c>
      <c r="J226" s="17" t="e">
        <v>#DIV/0!</v>
      </c>
    </row>
    <row r="227" spans="1:18" x14ac:dyDescent="0.3">
      <c r="A227" s="19">
        <v>45771.506851851853</v>
      </c>
      <c r="B227" s="43" t="s">
        <v>414</v>
      </c>
      <c r="C227" t="s">
        <v>743</v>
      </c>
      <c r="D227" s="13">
        <v>0</v>
      </c>
      <c r="H227" s="29">
        <v>0</v>
      </c>
      <c r="I227" s="29">
        <v>0</v>
      </c>
      <c r="J227" s="17" t="e">
        <v>#DIV/0!</v>
      </c>
    </row>
    <row r="228" spans="1:18" x14ac:dyDescent="0.3">
      <c r="A228" s="19">
        <v>45771.506851851853</v>
      </c>
      <c r="B228" s="43" t="s">
        <v>414</v>
      </c>
      <c r="C228" t="s">
        <v>744</v>
      </c>
      <c r="D228" s="13">
        <v>0</v>
      </c>
      <c r="H228" s="29">
        <v>0</v>
      </c>
      <c r="I228" s="29">
        <v>0</v>
      </c>
      <c r="J228" s="17" t="e">
        <v>#DIV/0!</v>
      </c>
    </row>
    <row r="229" spans="1:18" x14ac:dyDescent="0.3">
      <c r="A229" s="19">
        <v>45771.508611111109</v>
      </c>
      <c r="B229" s="43" t="s">
        <v>416</v>
      </c>
      <c r="C229" t="s">
        <v>740</v>
      </c>
      <c r="D229" s="13">
        <v>23209.886383746703</v>
      </c>
      <c r="H229" s="29">
        <v>0</v>
      </c>
      <c r="I229" s="29">
        <v>0</v>
      </c>
      <c r="J229" s="17" t="e">
        <v>#DIV/0!</v>
      </c>
    </row>
    <row r="230" spans="1:18" x14ac:dyDescent="0.3">
      <c r="A230" s="19">
        <v>45771.508611111109</v>
      </c>
      <c r="B230" s="43" t="s">
        <v>416</v>
      </c>
      <c r="C230" t="s">
        <v>741</v>
      </c>
      <c r="D230" s="13">
        <v>41186.841593722696</v>
      </c>
      <c r="F230" t="s">
        <v>843</v>
      </c>
      <c r="H230" s="29">
        <v>0</v>
      </c>
      <c r="I230" s="29">
        <v>0</v>
      </c>
      <c r="J230" s="17" t="e">
        <v>#DIV/0!</v>
      </c>
    </row>
    <row r="231" spans="1:18" x14ac:dyDescent="0.3">
      <c r="A231" s="19">
        <v>45771.508611111109</v>
      </c>
      <c r="B231" s="43" t="s">
        <v>416</v>
      </c>
      <c r="C231" t="s">
        <v>742</v>
      </c>
      <c r="D231" s="13">
        <v>0</v>
      </c>
      <c r="H231" s="29">
        <v>0</v>
      </c>
      <c r="I231" s="29">
        <v>0</v>
      </c>
      <c r="J231" s="17" t="e">
        <v>#DIV/0!</v>
      </c>
    </row>
    <row r="232" spans="1:18" x14ac:dyDescent="0.3">
      <c r="A232" s="19">
        <v>45771.508611111109</v>
      </c>
      <c r="B232" s="43" t="s">
        <v>416</v>
      </c>
      <c r="C232" t="s">
        <v>743</v>
      </c>
      <c r="D232" s="13">
        <v>0</v>
      </c>
      <c r="H232" s="29">
        <v>0</v>
      </c>
      <c r="I232" s="29">
        <v>0</v>
      </c>
      <c r="J232" s="17" t="e">
        <v>#DIV/0!</v>
      </c>
    </row>
    <row r="233" spans="1:18" x14ac:dyDescent="0.3">
      <c r="A233" s="19">
        <v>45771.508611111109</v>
      </c>
      <c r="B233" s="43" t="s">
        <v>416</v>
      </c>
      <c r="C233" t="s">
        <v>744</v>
      </c>
      <c r="D233" s="13">
        <v>0</v>
      </c>
      <c r="H233" s="29">
        <v>0</v>
      </c>
      <c r="I233" s="29">
        <v>0</v>
      </c>
      <c r="J233" s="17" t="e">
        <v>#DIV/0!</v>
      </c>
    </row>
    <row r="234" spans="1:18" x14ac:dyDescent="0.3">
      <c r="A234" s="19">
        <v>45771.511550925927</v>
      </c>
      <c r="B234" s="43" t="s">
        <v>429</v>
      </c>
      <c r="C234" t="s">
        <v>740</v>
      </c>
      <c r="D234" s="13">
        <v>7206.3700771680633</v>
      </c>
      <c r="H234" s="29">
        <v>0</v>
      </c>
      <c r="I234" s="29">
        <v>0</v>
      </c>
      <c r="J234" s="17" t="e">
        <v>#DIV/0!</v>
      </c>
    </row>
    <row r="235" spans="1:18" x14ac:dyDescent="0.3">
      <c r="A235" s="19">
        <v>45771.511550925927</v>
      </c>
      <c r="B235" s="43" t="s">
        <v>429</v>
      </c>
      <c r="C235" t="s">
        <v>741</v>
      </c>
      <c r="D235" s="13">
        <v>15973.052078358325</v>
      </c>
      <c r="E235" t="s">
        <v>844</v>
      </c>
      <c r="H235" s="29">
        <v>0</v>
      </c>
      <c r="I235" s="29">
        <v>0</v>
      </c>
      <c r="J235" s="17" t="e">
        <v>#DIV/0!</v>
      </c>
    </row>
    <row r="236" spans="1:18" x14ac:dyDescent="0.3">
      <c r="A236" s="19">
        <v>45771.511550925927</v>
      </c>
      <c r="B236" s="43" t="s">
        <v>429</v>
      </c>
      <c r="C236" t="s">
        <v>742</v>
      </c>
      <c r="D236" s="13">
        <v>5608.7973529054525</v>
      </c>
      <c r="H236" s="29">
        <v>0</v>
      </c>
      <c r="I236" s="29">
        <v>0</v>
      </c>
      <c r="J236" s="17" t="e">
        <v>#DIV/0!</v>
      </c>
    </row>
    <row r="237" spans="1:18" x14ac:dyDescent="0.3">
      <c r="A237" s="19">
        <v>45771.511550925927</v>
      </c>
      <c r="B237" s="43" t="s">
        <v>429</v>
      </c>
      <c r="C237" t="s">
        <v>743</v>
      </c>
      <c r="D237" s="13">
        <v>0</v>
      </c>
      <c r="H237" s="29">
        <v>0</v>
      </c>
      <c r="I237" s="29">
        <v>0</v>
      </c>
      <c r="J237" s="17" t="e">
        <v>#DIV/0!</v>
      </c>
    </row>
    <row r="238" spans="1:18" x14ac:dyDescent="0.3">
      <c r="A238" s="19">
        <v>45771.511550925927</v>
      </c>
      <c r="B238" s="43" t="s">
        <v>429</v>
      </c>
      <c r="C238" t="s">
        <v>744</v>
      </c>
      <c r="D238" s="13">
        <v>0</v>
      </c>
      <c r="H238" s="29">
        <v>0</v>
      </c>
      <c r="I238" s="29">
        <v>0</v>
      </c>
      <c r="J238" s="17" t="e">
        <v>#DIV/0!</v>
      </c>
    </row>
    <row r="239" spans="1:18" x14ac:dyDescent="0.3">
      <c r="A239" s="19">
        <v>45771.511550925927</v>
      </c>
      <c r="B239">
        <v>5600</v>
      </c>
      <c r="C239" t="s">
        <v>799</v>
      </c>
      <c r="Q239" t="s">
        <v>845</v>
      </c>
      <c r="R239">
        <v>25</v>
      </c>
    </row>
    <row r="240" spans="1:18" x14ac:dyDescent="0.3">
      <c r="A240" s="19">
        <v>45771.511550925927</v>
      </c>
      <c r="B240">
        <v>5600</v>
      </c>
      <c r="C240" t="s">
        <v>799</v>
      </c>
      <c r="Q240" t="s">
        <v>846</v>
      </c>
      <c r="R240">
        <v>26</v>
      </c>
    </row>
    <row r="241" spans="1:10" x14ac:dyDescent="0.3">
      <c r="A241" s="19">
        <v>45771.513356481482</v>
      </c>
      <c r="B241" s="43" t="s">
        <v>452</v>
      </c>
      <c r="C241" t="s">
        <v>740</v>
      </c>
      <c r="D241" s="13">
        <v>0</v>
      </c>
      <c r="H241" s="29">
        <v>0</v>
      </c>
      <c r="I241" s="29">
        <v>0</v>
      </c>
      <c r="J241" s="17" t="e">
        <v>#DIV/0!</v>
      </c>
    </row>
    <row r="242" spans="1:10" x14ac:dyDescent="0.3">
      <c r="A242" s="19">
        <v>45771.513356481482</v>
      </c>
      <c r="B242" s="43" t="s">
        <v>452</v>
      </c>
      <c r="C242" t="s">
        <v>741</v>
      </c>
      <c r="D242" s="13">
        <v>10284.07185626854</v>
      </c>
      <c r="H242" s="29">
        <v>0</v>
      </c>
      <c r="I242" s="29">
        <v>0</v>
      </c>
      <c r="J242" s="17" t="e">
        <v>#DIV/0!</v>
      </c>
    </row>
    <row r="243" spans="1:10" x14ac:dyDescent="0.3">
      <c r="A243" s="19">
        <v>45771.513356481482</v>
      </c>
      <c r="B243" s="43" t="s">
        <v>452</v>
      </c>
      <c r="C243" t="s">
        <v>742</v>
      </c>
      <c r="D243" s="13">
        <v>12097.297639325403</v>
      </c>
      <c r="F243" t="s">
        <v>847</v>
      </c>
      <c r="H243" s="29">
        <v>0</v>
      </c>
      <c r="I243" s="29">
        <v>0</v>
      </c>
      <c r="J243" s="17" t="e">
        <v>#DIV/0!</v>
      </c>
    </row>
    <row r="244" spans="1:10" x14ac:dyDescent="0.3">
      <c r="A244" s="19">
        <v>45771.513356481482</v>
      </c>
      <c r="B244" s="43" t="s">
        <v>452</v>
      </c>
      <c r="C244" t="s">
        <v>743</v>
      </c>
      <c r="D244" s="13">
        <v>0</v>
      </c>
      <c r="H244" s="29">
        <v>0</v>
      </c>
      <c r="I244" s="29">
        <v>0</v>
      </c>
      <c r="J244" s="17" t="e">
        <v>#DIV/0!</v>
      </c>
    </row>
    <row r="245" spans="1:10" x14ac:dyDescent="0.3">
      <c r="A245" s="19">
        <v>45771.513356481482</v>
      </c>
      <c r="B245" s="43" t="s">
        <v>452</v>
      </c>
      <c r="C245" t="s">
        <v>744</v>
      </c>
      <c r="D245" s="13">
        <v>0</v>
      </c>
      <c r="H245" s="29">
        <v>0</v>
      </c>
      <c r="I245" s="29">
        <v>0</v>
      </c>
      <c r="J245" s="17" t="e">
        <v>#DIV/0!</v>
      </c>
    </row>
    <row r="246" spans="1:10" x14ac:dyDescent="0.3">
      <c r="A246" s="19">
        <v>45771.513981481483</v>
      </c>
      <c r="B246" s="43" t="s">
        <v>456</v>
      </c>
      <c r="C246" t="s">
        <v>740</v>
      </c>
      <c r="D246" s="13">
        <v>0</v>
      </c>
      <c r="H246" s="29">
        <v>0</v>
      </c>
      <c r="I246" s="29">
        <v>0</v>
      </c>
      <c r="J246" s="17" t="e">
        <v>#DIV/0!</v>
      </c>
    </row>
    <row r="247" spans="1:10" x14ac:dyDescent="0.3">
      <c r="A247" s="19">
        <v>45771.513981481483</v>
      </c>
      <c r="B247" s="43" t="s">
        <v>456</v>
      </c>
      <c r="C247" t="s">
        <v>741</v>
      </c>
      <c r="D247" s="13">
        <v>9285.772239282087</v>
      </c>
      <c r="H247" s="29">
        <v>0</v>
      </c>
      <c r="I247" s="29">
        <v>0</v>
      </c>
      <c r="J247" s="17" t="e">
        <v>#DIV/0!</v>
      </c>
    </row>
    <row r="248" spans="1:10" x14ac:dyDescent="0.3">
      <c r="A248" s="19">
        <v>45771.513981481483</v>
      </c>
      <c r="B248" s="43" t="s">
        <v>456</v>
      </c>
      <c r="C248" t="s">
        <v>742</v>
      </c>
      <c r="D248" s="13">
        <v>15236.966028432746</v>
      </c>
      <c r="F248" t="s">
        <v>832</v>
      </c>
      <c r="H248" s="29">
        <v>0</v>
      </c>
      <c r="I248" s="29">
        <v>0</v>
      </c>
      <c r="J248" s="17" t="e">
        <v>#DIV/0!</v>
      </c>
    </row>
    <row r="249" spans="1:10" x14ac:dyDescent="0.3">
      <c r="A249" s="19">
        <v>45771.513981481483</v>
      </c>
      <c r="B249" s="43" t="s">
        <v>456</v>
      </c>
      <c r="C249" t="s">
        <v>743</v>
      </c>
      <c r="D249" s="13">
        <v>0</v>
      </c>
      <c r="H249" s="29">
        <v>0</v>
      </c>
      <c r="I249" s="29">
        <v>0</v>
      </c>
      <c r="J249" s="17" t="e">
        <v>#DIV/0!</v>
      </c>
    </row>
    <row r="250" spans="1:10" x14ac:dyDescent="0.3">
      <c r="A250" s="19">
        <v>45771.513981481483</v>
      </c>
      <c r="B250" s="43" t="s">
        <v>456</v>
      </c>
      <c r="C250" t="s">
        <v>744</v>
      </c>
      <c r="D250" s="13">
        <v>0.37753145213129435</v>
      </c>
      <c r="H250" s="29">
        <v>0</v>
      </c>
      <c r="I250" s="29">
        <v>0</v>
      </c>
      <c r="J250" s="17" t="e">
        <v>#DIV/0!</v>
      </c>
    </row>
    <row r="251" spans="1:10" x14ac:dyDescent="0.3">
      <c r="A251" s="19">
        <v>45771.514664351853</v>
      </c>
      <c r="B251" s="43" t="s">
        <v>462</v>
      </c>
      <c r="C251" t="s">
        <v>740</v>
      </c>
      <c r="D251" s="13">
        <v>0</v>
      </c>
      <c r="H251" s="29">
        <v>0</v>
      </c>
      <c r="I251" s="29">
        <v>0</v>
      </c>
      <c r="J251" s="17" t="e">
        <v>#DIV/0!</v>
      </c>
    </row>
    <row r="252" spans="1:10" x14ac:dyDescent="0.3">
      <c r="A252" s="19">
        <v>45771.514664351853</v>
      </c>
      <c r="B252" s="43" t="s">
        <v>462</v>
      </c>
      <c r="C252" t="s">
        <v>741</v>
      </c>
      <c r="D252" s="13">
        <v>0</v>
      </c>
      <c r="H252" s="29">
        <v>0</v>
      </c>
      <c r="I252" s="29">
        <v>0</v>
      </c>
      <c r="J252" s="17" t="e">
        <v>#DIV/0!</v>
      </c>
    </row>
    <row r="253" spans="1:10" x14ac:dyDescent="0.3">
      <c r="A253" s="19">
        <v>45771.514664351853</v>
      </c>
      <c r="B253" s="43" t="s">
        <v>462</v>
      </c>
      <c r="C253" t="s">
        <v>742</v>
      </c>
      <c r="D253" s="13">
        <v>114238.39999999999</v>
      </c>
      <c r="F253" t="s">
        <v>848</v>
      </c>
      <c r="H253" s="29">
        <v>0</v>
      </c>
      <c r="I253" s="29">
        <v>0</v>
      </c>
      <c r="J253" s="17" t="e">
        <v>#DIV/0!</v>
      </c>
    </row>
    <row r="254" spans="1:10" x14ac:dyDescent="0.3">
      <c r="A254" s="19">
        <v>45771.514664351853</v>
      </c>
      <c r="B254" s="43" t="s">
        <v>462</v>
      </c>
      <c r="C254" t="s">
        <v>743</v>
      </c>
      <c r="D254" s="13">
        <v>0</v>
      </c>
      <c r="H254" s="29">
        <v>0</v>
      </c>
      <c r="I254" s="29">
        <v>0</v>
      </c>
      <c r="J254" s="17" t="e">
        <v>#DIV/0!</v>
      </c>
    </row>
    <row r="255" spans="1:10" x14ac:dyDescent="0.3">
      <c r="A255" s="19">
        <v>45771.514664351853</v>
      </c>
      <c r="B255" s="43" t="s">
        <v>462</v>
      </c>
      <c r="C255" t="s">
        <v>744</v>
      </c>
      <c r="D255" s="13">
        <v>0</v>
      </c>
      <c r="H255" s="29">
        <v>0</v>
      </c>
      <c r="I255" s="29">
        <v>0</v>
      </c>
      <c r="J255" s="17" t="e">
        <v>#DIV/0!</v>
      </c>
    </row>
    <row r="256" spans="1:10" x14ac:dyDescent="0.3">
      <c r="A256" s="19">
        <v>45771.515185185184</v>
      </c>
      <c r="B256" s="43" t="s">
        <v>465</v>
      </c>
      <c r="C256" t="s">
        <v>740</v>
      </c>
      <c r="D256" s="13">
        <v>0</v>
      </c>
      <c r="H256" s="29">
        <v>0</v>
      </c>
      <c r="I256" s="29">
        <v>0</v>
      </c>
      <c r="J256" s="17" t="e">
        <v>#DIV/0!</v>
      </c>
    </row>
    <row r="257" spans="1:10" x14ac:dyDescent="0.3">
      <c r="A257" s="19">
        <v>45771.515185185184</v>
      </c>
      <c r="B257" s="43" t="s">
        <v>465</v>
      </c>
      <c r="C257" t="s">
        <v>741</v>
      </c>
      <c r="D257" s="13">
        <v>0</v>
      </c>
      <c r="H257" s="29">
        <v>0</v>
      </c>
      <c r="I257" s="29">
        <v>0</v>
      </c>
      <c r="J257" s="17" t="e">
        <v>#DIV/0!</v>
      </c>
    </row>
    <row r="258" spans="1:10" x14ac:dyDescent="0.3">
      <c r="A258" s="19">
        <v>45771.515185185184</v>
      </c>
      <c r="B258" s="43" t="s">
        <v>465</v>
      </c>
      <c r="C258" t="s">
        <v>742</v>
      </c>
      <c r="D258" s="13">
        <v>156000</v>
      </c>
      <c r="H258" s="29">
        <v>0</v>
      </c>
      <c r="I258" s="29">
        <v>0</v>
      </c>
      <c r="J258" s="17" t="e">
        <v>#DIV/0!</v>
      </c>
    </row>
    <row r="259" spans="1:10" x14ac:dyDescent="0.3">
      <c r="A259" s="19">
        <v>45771.515185185184</v>
      </c>
      <c r="B259" s="43" t="s">
        <v>465</v>
      </c>
      <c r="C259" t="s">
        <v>743</v>
      </c>
      <c r="D259" s="13">
        <v>0</v>
      </c>
      <c r="H259" s="29">
        <v>0</v>
      </c>
      <c r="I259" s="29">
        <v>0</v>
      </c>
      <c r="J259" s="17" t="e">
        <v>#DIV/0!</v>
      </c>
    </row>
    <row r="260" spans="1:10" x14ac:dyDescent="0.3">
      <c r="A260" s="19">
        <v>45771.515185185184</v>
      </c>
      <c r="B260" s="43" t="s">
        <v>465</v>
      </c>
      <c r="C260" t="s">
        <v>744</v>
      </c>
      <c r="D260" s="13">
        <v>0</v>
      </c>
      <c r="H260" s="29">
        <v>0</v>
      </c>
      <c r="I260" s="29">
        <v>0</v>
      </c>
      <c r="J260" s="17" t="e">
        <v>#DIV/0!</v>
      </c>
    </row>
    <row r="261" spans="1:10" x14ac:dyDescent="0.3">
      <c r="A261" s="19">
        <v>45771.515659722223</v>
      </c>
      <c r="B261" s="43" t="s">
        <v>468</v>
      </c>
      <c r="C261" t="s">
        <v>740</v>
      </c>
      <c r="D261" s="13">
        <v>2786.3999999999996</v>
      </c>
      <c r="H261" s="29">
        <v>0</v>
      </c>
      <c r="I261" s="29">
        <v>0</v>
      </c>
      <c r="J261" s="17" t="e">
        <v>#DIV/0!</v>
      </c>
    </row>
    <row r="262" spans="1:10" x14ac:dyDescent="0.3">
      <c r="A262" s="19">
        <v>45771.515659722223</v>
      </c>
      <c r="B262" s="43" t="s">
        <v>468</v>
      </c>
      <c r="C262" t="s">
        <v>741</v>
      </c>
      <c r="D262" s="13">
        <v>37260</v>
      </c>
      <c r="F262" t="s">
        <v>849</v>
      </c>
      <c r="H262" s="29">
        <v>0</v>
      </c>
      <c r="I262" s="29">
        <v>0</v>
      </c>
      <c r="J262" s="17" t="e">
        <v>#DIV/0!</v>
      </c>
    </row>
    <row r="263" spans="1:10" x14ac:dyDescent="0.3">
      <c r="A263" s="19">
        <v>45771.515659722223</v>
      </c>
      <c r="B263" s="43" t="s">
        <v>468</v>
      </c>
      <c r="C263" t="s">
        <v>742</v>
      </c>
      <c r="D263" s="13">
        <v>0</v>
      </c>
      <c r="H263" s="29">
        <v>0</v>
      </c>
      <c r="I263" s="29">
        <v>0</v>
      </c>
      <c r="J263" s="17" t="e">
        <v>#DIV/0!</v>
      </c>
    </row>
    <row r="264" spans="1:10" x14ac:dyDescent="0.3">
      <c r="A264" s="19">
        <v>45771.515659722223</v>
      </c>
      <c r="B264" s="43" t="s">
        <v>468</v>
      </c>
      <c r="C264" t="s">
        <v>743</v>
      </c>
      <c r="D264" s="13">
        <v>0</v>
      </c>
      <c r="H264" s="29">
        <v>0</v>
      </c>
      <c r="I264" s="29">
        <v>0</v>
      </c>
      <c r="J264" s="17" t="e">
        <v>#DIV/0!</v>
      </c>
    </row>
    <row r="265" spans="1:10" x14ac:dyDescent="0.3">
      <c r="A265" s="19">
        <v>45771.515659722223</v>
      </c>
      <c r="B265" s="43" t="s">
        <v>468</v>
      </c>
      <c r="C265" t="s">
        <v>744</v>
      </c>
      <c r="D265" s="13">
        <v>0</v>
      </c>
      <c r="H265" s="29">
        <v>0</v>
      </c>
      <c r="I265" s="29">
        <v>0</v>
      </c>
      <c r="J265" s="17" t="e">
        <v>#DIV/0!</v>
      </c>
    </row>
    <row r="266" spans="1:10" x14ac:dyDescent="0.3">
      <c r="A266" s="19">
        <v>45771.521122685182</v>
      </c>
      <c r="B266" s="43" t="s">
        <v>502</v>
      </c>
      <c r="C266" t="s">
        <v>740</v>
      </c>
      <c r="D266" s="13">
        <v>486</v>
      </c>
      <c r="H266" s="29">
        <v>0.2</v>
      </c>
      <c r="I266" s="29">
        <v>0.25655</v>
      </c>
      <c r="J266" s="17">
        <v>0</v>
      </c>
    </row>
    <row r="267" spans="1:10" x14ac:dyDescent="0.3">
      <c r="A267" s="19">
        <v>45771.521122685182</v>
      </c>
      <c r="B267" s="43" t="s">
        <v>502</v>
      </c>
      <c r="C267" t="s">
        <v>741</v>
      </c>
      <c r="D267" s="13">
        <v>459.99999999999989</v>
      </c>
      <c r="H267" s="29">
        <v>0.2</v>
      </c>
      <c r="I267" s="29">
        <v>0.25655</v>
      </c>
      <c r="J267" s="17">
        <v>0</v>
      </c>
    </row>
    <row r="268" spans="1:10" x14ac:dyDescent="0.3">
      <c r="A268" s="19">
        <v>45771.521122685182</v>
      </c>
      <c r="B268" s="43" t="s">
        <v>502</v>
      </c>
      <c r="C268" t="s">
        <v>742</v>
      </c>
      <c r="D268" s="13">
        <v>11630</v>
      </c>
      <c r="H268" s="29">
        <v>0.2</v>
      </c>
      <c r="I268" s="29">
        <v>0.25655</v>
      </c>
      <c r="J268" s="17">
        <v>0</v>
      </c>
    </row>
    <row r="269" spans="1:10" x14ac:dyDescent="0.3">
      <c r="A269" s="19">
        <v>45771.521122685182</v>
      </c>
      <c r="B269" s="43" t="s">
        <v>502</v>
      </c>
      <c r="C269" t="s">
        <v>743</v>
      </c>
      <c r="D269" s="13">
        <v>15420</v>
      </c>
      <c r="H269" s="29">
        <v>0.2</v>
      </c>
      <c r="I269" s="29">
        <v>0.25655</v>
      </c>
      <c r="J269" s="17">
        <v>0</v>
      </c>
    </row>
    <row r="270" spans="1:10" x14ac:dyDescent="0.3">
      <c r="A270" s="19">
        <v>45771.521122685182</v>
      </c>
      <c r="B270" s="43" t="s">
        <v>502</v>
      </c>
      <c r="C270" t="s">
        <v>744</v>
      </c>
      <c r="D270" s="13">
        <v>0</v>
      </c>
      <c r="H270" s="29">
        <v>0.2</v>
      </c>
      <c r="I270" s="29">
        <v>0.25655</v>
      </c>
      <c r="J270" s="17">
        <v>0</v>
      </c>
    </row>
    <row r="271" spans="1:10" x14ac:dyDescent="0.3">
      <c r="A271" s="19">
        <v>45771.521967592591</v>
      </c>
      <c r="B271" s="43" t="s">
        <v>505</v>
      </c>
      <c r="C271" t="s">
        <v>740</v>
      </c>
      <c r="D271" s="13">
        <v>0</v>
      </c>
      <c r="H271" s="29">
        <v>0.3</v>
      </c>
      <c r="I271" s="29">
        <v>0</v>
      </c>
      <c r="J271" s="17" t="e">
        <v>#DIV/0!</v>
      </c>
    </row>
    <row r="272" spans="1:10" x14ac:dyDescent="0.3">
      <c r="A272" s="19">
        <v>45771.521967592591</v>
      </c>
      <c r="B272" s="43" t="s">
        <v>505</v>
      </c>
      <c r="C272" t="s">
        <v>741</v>
      </c>
      <c r="D272" s="13">
        <v>0</v>
      </c>
      <c r="H272" s="29">
        <v>0.3</v>
      </c>
      <c r="I272" s="29">
        <v>0</v>
      </c>
      <c r="J272" s="17" t="e">
        <v>#DIV/0!</v>
      </c>
    </row>
    <row r="273" spans="1:10" x14ac:dyDescent="0.3">
      <c r="A273" s="19">
        <v>45771.521967592591</v>
      </c>
      <c r="B273" s="43" t="s">
        <v>505</v>
      </c>
      <c r="C273" t="s">
        <v>742</v>
      </c>
      <c r="D273" s="13">
        <v>0</v>
      </c>
      <c r="H273" s="29">
        <v>0.3</v>
      </c>
      <c r="I273" s="29">
        <v>0</v>
      </c>
      <c r="J273" s="17" t="e">
        <v>#DIV/0!</v>
      </c>
    </row>
    <row r="274" spans="1:10" x14ac:dyDescent="0.3">
      <c r="A274" s="19">
        <v>45771.521967592591</v>
      </c>
      <c r="B274" s="43" t="s">
        <v>505</v>
      </c>
      <c r="C274" t="s">
        <v>743</v>
      </c>
      <c r="D274" s="13">
        <v>0</v>
      </c>
      <c r="H274" s="29">
        <v>0.3</v>
      </c>
      <c r="I274" s="29">
        <v>0</v>
      </c>
      <c r="J274" s="17" t="e">
        <v>#DIV/0!</v>
      </c>
    </row>
    <row r="275" spans="1:10" x14ac:dyDescent="0.3">
      <c r="A275" s="19">
        <v>45771.521967592591</v>
      </c>
      <c r="B275" s="43" t="s">
        <v>505</v>
      </c>
      <c r="C275" t="s">
        <v>744</v>
      </c>
      <c r="D275" s="13">
        <v>1507.5</v>
      </c>
      <c r="E275" t="s">
        <v>850</v>
      </c>
      <c r="H275" s="29">
        <v>0.3</v>
      </c>
      <c r="I275" s="29">
        <v>0</v>
      </c>
      <c r="J275" s="17" t="e">
        <v>#DIV/0!</v>
      </c>
    </row>
    <row r="276" spans="1:10" x14ac:dyDescent="0.3">
      <c r="A276" s="19">
        <v>45771.522916666669</v>
      </c>
      <c r="B276" s="43" t="s">
        <v>508</v>
      </c>
      <c r="C276" t="s">
        <v>740</v>
      </c>
      <c r="D276" s="13">
        <v>934.34400000000005</v>
      </c>
      <c r="H276" s="29">
        <v>0.1</v>
      </c>
      <c r="I276" s="29">
        <v>0.13852500000000001</v>
      </c>
      <c r="J276" s="17">
        <v>0</v>
      </c>
    </row>
    <row r="277" spans="1:10" x14ac:dyDescent="0.3">
      <c r="A277" s="19">
        <v>45771.522916666669</v>
      </c>
      <c r="B277" s="43" t="s">
        <v>508</v>
      </c>
      <c r="C277" t="s">
        <v>741</v>
      </c>
      <c r="D277" s="13">
        <v>1014</v>
      </c>
      <c r="H277" s="29">
        <v>0.1</v>
      </c>
      <c r="I277" s="29">
        <v>0.13852500000000001</v>
      </c>
      <c r="J277" s="17">
        <v>0</v>
      </c>
    </row>
    <row r="278" spans="1:10" x14ac:dyDescent="0.3">
      <c r="A278" s="19">
        <v>45771.522916666669</v>
      </c>
      <c r="B278" s="43" t="s">
        <v>508</v>
      </c>
      <c r="C278" t="s">
        <v>742</v>
      </c>
      <c r="D278" s="13">
        <v>0</v>
      </c>
      <c r="H278" s="29">
        <v>0.1</v>
      </c>
      <c r="I278" s="29">
        <v>0.13852500000000001</v>
      </c>
      <c r="J278" s="17">
        <v>0</v>
      </c>
    </row>
    <row r="279" spans="1:10" x14ac:dyDescent="0.3">
      <c r="A279" s="19">
        <v>45771.522916666669</v>
      </c>
      <c r="B279" s="43" t="s">
        <v>508</v>
      </c>
      <c r="C279" t="s">
        <v>743</v>
      </c>
      <c r="D279" s="13">
        <v>6780</v>
      </c>
      <c r="H279" s="29">
        <v>0.1</v>
      </c>
      <c r="I279" s="29">
        <v>0.13852500000000001</v>
      </c>
      <c r="J279" s="17">
        <v>0</v>
      </c>
    </row>
    <row r="280" spans="1:10" x14ac:dyDescent="0.3">
      <c r="A280" s="19">
        <v>45771.522916666669</v>
      </c>
      <c r="B280" s="43" t="s">
        <v>508</v>
      </c>
      <c r="C280" t="s">
        <v>744</v>
      </c>
      <c r="D280" s="13">
        <v>0</v>
      </c>
      <c r="H280" s="29">
        <v>0.1</v>
      </c>
      <c r="I280" s="29">
        <v>0.13852500000000001</v>
      </c>
      <c r="J280" s="17">
        <v>0</v>
      </c>
    </row>
    <row r="281" spans="1:10" x14ac:dyDescent="0.3">
      <c r="A281" s="19">
        <v>45771.523356481484</v>
      </c>
      <c r="B281" s="43" t="s">
        <v>508</v>
      </c>
      <c r="C281" t="s">
        <v>740</v>
      </c>
      <c r="D281" s="13">
        <v>934.34400000000005</v>
      </c>
      <c r="H281" s="29">
        <v>0.1</v>
      </c>
      <c r="I281" s="29">
        <v>0.13852500000000001</v>
      </c>
      <c r="J281" s="17">
        <v>0</v>
      </c>
    </row>
    <row r="282" spans="1:10" x14ac:dyDescent="0.3">
      <c r="A282" s="19">
        <v>45771.523356481484</v>
      </c>
      <c r="B282" s="43" t="s">
        <v>508</v>
      </c>
      <c r="C282" t="s">
        <v>741</v>
      </c>
      <c r="D282" s="13">
        <v>1014</v>
      </c>
      <c r="H282" s="29">
        <v>0.1</v>
      </c>
      <c r="I282" s="29">
        <v>0.13852500000000001</v>
      </c>
      <c r="J282" s="17">
        <v>0</v>
      </c>
    </row>
    <row r="283" spans="1:10" x14ac:dyDescent="0.3">
      <c r="A283" s="19">
        <v>45771.523356481484</v>
      </c>
      <c r="B283" s="43" t="s">
        <v>508</v>
      </c>
      <c r="C283" t="s">
        <v>742</v>
      </c>
      <c r="D283" s="13">
        <v>0</v>
      </c>
      <c r="H283" s="29">
        <v>0.1</v>
      </c>
      <c r="I283" s="29">
        <v>0.13852500000000001</v>
      </c>
      <c r="J283" s="17">
        <v>0</v>
      </c>
    </row>
    <row r="284" spans="1:10" x14ac:dyDescent="0.3">
      <c r="A284" s="19">
        <v>45771.523356481484</v>
      </c>
      <c r="B284" s="43" t="s">
        <v>508</v>
      </c>
      <c r="C284" t="s">
        <v>743</v>
      </c>
      <c r="D284" s="13">
        <v>6780</v>
      </c>
      <c r="H284" s="29">
        <v>0.1</v>
      </c>
      <c r="I284" s="29">
        <v>0.13852500000000001</v>
      </c>
      <c r="J284" s="17">
        <v>0</v>
      </c>
    </row>
    <row r="285" spans="1:10" x14ac:dyDescent="0.3">
      <c r="A285" s="19">
        <v>45771.523356481484</v>
      </c>
      <c r="B285" s="43" t="s">
        <v>508</v>
      </c>
      <c r="C285" t="s">
        <v>744</v>
      </c>
      <c r="D285" s="13">
        <v>0</v>
      </c>
      <c r="H285" s="29">
        <v>0.1</v>
      </c>
      <c r="I285" s="29">
        <v>0.13852500000000001</v>
      </c>
      <c r="J285" s="17">
        <v>0</v>
      </c>
    </row>
    <row r="286" spans="1:10" x14ac:dyDescent="0.3">
      <c r="A286" s="19">
        <v>45771.524050925924</v>
      </c>
      <c r="B286" s="43" t="s">
        <v>512</v>
      </c>
      <c r="C286" t="s">
        <v>740</v>
      </c>
      <c r="D286" s="13">
        <v>2280.0000000000005</v>
      </c>
      <c r="H286" s="29">
        <v>0</v>
      </c>
      <c r="I286" s="29">
        <v>0</v>
      </c>
      <c r="J286" s="17" t="e">
        <v>#DIV/0!</v>
      </c>
    </row>
    <row r="287" spans="1:10" x14ac:dyDescent="0.3">
      <c r="A287" s="19">
        <v>45771.524050925924</v>
      </c>
      <c r="B287" s="43" t="s">
        <v>512</v>
      </c>
      <c r="C287" t="s">
        <v>741</v>
      </c>
      <c r="D287" s="13">
        <v>8079.4598770851635</v>
      </c>
      <c r="H287" s="29">
        <v>0</v>
      </c>
      <c r="I287" s="29">
        <v>0</v>
      </c>
      <c r="J287" s="17" t="e">
        <v>#DIV/0!</v>
      </c>
    </row>
    <row r="288" spans="1:10" x14ac:dyDescent="0.3">
      <c r="A288" s="19">
        <v>45771.524050925924</v>
      </c>
      <c r="B288" s="43" t="s">
        <v>512</v>
      </c>
      <c r="C288" t="s">
        <v>742</v>
      </c>
      <c r="D288" s="13">
        <v>0</v>
      </c>
      <c r="H288" s="29">
        <v>0</v>
      </c>
      <c r="I288" s="29">
        <v>0</v>
      </c>
      <c r="J288" s="17" t="e">
        <v>#DIV/0!</v>
      </c>
    </row>
    <row r="289" spans="1:18" x14ac:dyDescent="0.3">
      <c r="A289" s="19">
        <v>45771.524050925924</v>
      </c>
      <c r="B289" s="43" t="s">
        <v>512</v>
      </c>
      <c r="C289" t="s">
        <v>743</v>
      </c>
      <c r="D289" s="13">
        <v>0</v>
      </c>
      <c r="H289" s="29">
        <v>0</v>
      </c>
      <c r="I289" s="29">
        <v>0</v>
      </c>
      <c r="J289" s="17" t="e">
        <v>#DIV/0!</v>
      </c>
    </row>
    <row r="290" spans="1:18" x14ac:dyDescent="0.3">
      <c r="A290" s="19">
        <v>45771.524050925924</v>
      </c>
      <c r="B290" s="43" t="s">
        <v>512</v>
      </c>
      <c r="C290" t="s">
        <v>744</v>
      </c>
      <c r="D290" s="13">
        <v>0</v>
      </c>
      <c r="H290" s="29">
        <v>0</v>
      </c>
      <c r="I290" s="29">
        <v>0</v>
      </c>
      <c r="J290" s="17" t="e">
        <v>#DIV/0!</v>
      </c>
    </row>
    <row r="291" spans="1:18" x14ac:dyDescent="0.3">
      <c r="A291" s="19">
        <v>45771.524050925924</v>
      </c>
      <c r="B291">
        <v>8160</v>
      </c>
      <c r="C291" t="s">
        <v>799</v>
      </c>
      <c r="Q291" t="s">
        <v>851</v>
      </c>
      <c r="R291">
        <v>24</v>
      </c>
    </row>
    <row r="292" spans="1:18" x14ac:dyDescent="0.3">
      <c r="A292" s="19">
        <v>45771.524351851855</v>
      </c>
      <c r="B292" s="43" t="s">
        <v>514</v>
      </c>
      <c r="C292" t="s">
        <v>740</v>
      </c>
      <c r="D292" s="13">
        <v>13736.25</v>
      </c>
      <c r="H292" s="29">
        <v>0.1</v>
      </c>
      <c r="I292" s="29">
        <v>2.8379000000000001E-2</v>
      </c>
      <c r="J292" s="17">
        <v>0</v>
      </c>
    </row>
    <row r="293" spans="1:18" x14ac:dyDescent="0.3">
      <c r="A293" s="19">
        <v>45771.524351851855</v>
      </c>
      <c r="B293" s="43" t="s">
        <v>514</v>
      </c>
      <c r="C293" t="s">
        <v>741</v>
      </c>
      <c r="D293" s="13">
        <v>5362.5</v>
      </c>
      <c r="H293" s="29">
        <v>0.1</v>
      </c>
      <c r="I293" s="29">
        <v>2.8379000000000001E-2</v>
      </c>
      <c r="J293" s="17">
        <v>0</v>
      </c>
    </row>
    <row r="294" spans="1:18" x14ac:dyDescent="0.3">
      <c r="A294" s="19">
        <v>45771.524351851855</v>
      </c>
      <c r="B294" s="43" t="s">
        <v>514</v>
      </c>
      <c r="C294" t="s">
        <v>742</v>
      </c>
      <c r="D294" s="13">
        <v>0</v>
      </c>
      <c r="H294" s="29">
        <v>0.1</v>
      </c>
      <c r="I294" s="29">
        <v>2.8379000000000001E-2</v>
      </c>
      <c r="J294" s="17">
        <v>0</v>
      </c>
    </row>
    <row r="295" spans="1:18" x14ac:dyDescent="0.3">
      <c r="A295" s="19">
        <v>45771.524351851855</v>
      </c>
      <c r="B295" s="43" t="s">
        <v>514</v>
      </c>
      <c r="C295" t="s">
        <v>743</v>
      </c>
      <c r="D295" s="13">
        <v>4716</v>
      </c>
      <c r="H295" s="29">
        <v>0.1</v>
      </c>
      <c r="I295" s="29">
        <v>2.8379000000000001E-2</v>
      </c>
      <c r="J295" s="17">
        <v>0</v>
      </c>
    </row>
    <row r="296" spans="1:18" x14ac:dyDescent="0.3">
      <c r="A296" s="19">
        <v>45771.524351851855</v>
      </c>
      <c r="B296" s="43" t="s">
        <v>514</v>
      </c>
      <c r="C296" t="s">
        <v>744</v>
      </c>
      <c r="D296" s="13">
        <v>0</v>
      </c>
      <c r="H296" s="29">
        <v>0.1</v>
      </c>
      <c r="I296" s="29">
        <v>2.8379000000000001E-2</v>
      </c>
      <c r="J296" s="17">
        <v>0</v>
      </c>
    </row>
    <row r="297" spans="1:18" x14ac:dyDescent="0.3">
      <c r="A297" s="19">
        <v>45771.525196759256</v>
      </c>
      <c r="B297" s="43" t="s">
        <v>517</v>
      </c>
      <c r="C297" t="s">
        <v>740</v>
      </c>
      <c r="D297" s="13">
        <v>0</v>
      </c>
      <c r="H297" s="29">
        <v>0.02</v>
      </c>
      <c r="I297" s="29">
        <v>3.5279999999999999E-3</v>
      </c>
      <c r="J297" s="17">
        <v>0</v>
      </c>
    </row>
    <row r="298" spans="1:18" x14ac:dyDescent="0.3">
      <c r="A298" s="19">
        <v>45771.525196759256</v>
      </c>
      <c r="B298" s="43" t="s">
        <v>517</v>
      </c>
      <c r="C298" t="s">
        <v>741</v>
      </c>
      <c r="D298" s="13">
        <v>0</v>
      </c>
      <c r="H298" s="29">
        <v>0.02</v>
      </c>
      <c r="I298" s="29">
        <v>3.5279999999999999E-3</v>
      </c>
      <c r="J298" s="17">
        <v>0</v>
      </c>
    </row>
    <row r="299" spans="1:18" x14ac:dyDescent="0.3">
      <c r="A299" s="19">
        <v>45771.525196759256</v>
      </c>
      <c r="B299" s="43" t="s">
        <v>517</v>
      </c>
      <c r="C299" t="s">
        <v>742</v>
      </c>
      <c r="D299" s="13">
        <v>0</v>
      </c>
      <c r="H299" s="29">
        <v>0.02</v>
      </c>
      <c r="I299" s="29">
        <v>3.5279999999999999E-3</v>
      </c>
      <c r="J299" s="17">
        <v>0</v>
      </c>
    </row>
    <row r="300" spans="1:18" x14ac:dyDescent="0.3">
      <c r="A300" s="19">
        <v>45771.525196759256</v>
      </c>
      <c r="B300" s="43" t="s">
        <v>517</v>
      </c>
      <c r="C300" t="s">
        <v>743</v>
      </c>
      <c r="D300" s="13">
        <v>51060</v>
      </c>
      <c r="H300" s="29">
        <v>0.02</v>
      </c>
      <c r="I300" s="29">
        <v>3.5279999999999999E-3</v>
      </c>
      <c r="J300" s="17">
        <v>0</v>
      </c>
    </row>
    <row r="301" spans="1:18" x14ac:dyDescent="0.3">
      <c r="A301" s="19">
        <v>45771.525196759256</v>
      </c>
      <c r="B301" s="43" t="s">
        <v>517</v>
      </c>
      <c r="C301" t="s">
        <v>744</v>
      </c>
      <c r="D301" s="13">
        <v>0</v>
      </c>
      <c r="H301" s="29">
        <v>0.02</v>
      </c>
      <c r="I301" s="29">
        <v>3.5279999999999999E-3</v>
      </c>
      <c r="J301" s="17">
        <v>0</v>
      </c>
    </row>
    <row r="302" spans="1:18" x14ac:dyDescent="0.3">
      <c r="A302" s="19">
        <v>45771.526516203703</v>
      </c>
      <c r="B302" s="43" t="s">
        <v>520</v>
      </c>
      <c r="C302" t="s">
        <v>740</v>
      </c>
      <c r="D302" s="13">
        <v>1672.0000000000005</v>
      </c>
      <c r="H302" s="29">
        <v>0.5</v>
      </c>
      <c r="I302" s="29">
        <v>0.77277700000000005</v>
      </c>
      <c r="J302" s="17">
        <v>0</v>
      </c>
    </row>
    <row r="303" spans="1:18" x14ac:dyDescent="0.3">
      <c r="A303" s="19">
        <v>45771.526516203703</v>
      </c>
      <c r="B303" s="43" t="s">
        <v>520</v>
      </c>
      <c r="C303" t="s">
        <v>741</v>
      </c>
      <c r="D303" s="13">
        <v>2190</v>
      </c>
      <c r="H303" s="29">
        <v>0.5</v>
      </c>
      <c r="I303" s="29">
        <v>0.77277700000000005</v>
      </c>
      <c r="J303" s="17">
        <v>0</v>
      </c>
    </row>
    <row r="304" spans="1:18" x14ac:dyDescent="0.3">
      <c r="A304" s="19">
        <v>45771.526516203703</v>
      </c>
      <c r="B304" s="43" t="s">
        <v>520</v>
      </c>
      <c r="C304" t="s">
        <v>742</v>
      </c>
      <c r="D304" s="13">
        <v>677.00000000000011</v>
      </c>
      <c r="H304" s="29">
        <v>0.5</v>
      </c>
      <c r="I304" s="29">
        <v>0.77277700000000005</v>
      </c>
      <c r="J304" s="17">
        <v>0</v>
      </c>
    </row>
    <row r="305" spans="1:12" x14ac:dyDescent="0.3">
      <c r="A305" s="19">
        <v>45771.526516203703</v>
      </c>
      <c r="B305" s="43" t="s">
        <v>520</v>
      </c>
      <c r="C305" t="s">
        <v>743</v>
      </c>
      <c r="D305" s="13">
        <v>6864.4</v>
      </c>
      <c r="E305" t="s">
        <v>852</v>
      </c>
      <c r="H305" s="29">
        <v>0.5</v>
      </c>
      <c r="I305" s="29">
        <v>0.77277700000000005</v>
      </c>
      <c r="J305" s="17">
        <v>0</v>
      </c>
    </row>
    <row r="306" spans="1:12" x14ac:dyDescent="0.3">
      <c r="A306" s="19">
        <v>45771.526516203703</v>
      </c>
      <c r="B306" s="43" t="s">
        <v>520</v>
      </c>
      <c r="C306" t="s">
        <v>744</v>
      </c>
      <c r="D306" s="13">
        <v>0</v>
      </c>
      <c r="H306" s="29">
        <v>0.5</v>
      </c>
      <c r="I306" s="29">
        <v>0.77277700000000005</v>
      </c>
      <c r="J306" s="17">
        <v>0</v>
      </c>
    </row>
    <row r="307" spans="1:12" x14ac:dyDescent="0.3">
      <c r="A307" s="19">
        <v>45771.530706018515</v>
      </c>
      <c r="B307" s="43" t="s">
        <v>524</v>
      </c>
      <c r="C307" t="s">
        <v>740</v>
      </c>
      <c r="D307" s="13">
        <v>0</v>
      </c>
      <c r="H307" s="29">
        <v>0.05</v>
      </c>
      <c r="I307" s="29">
        <v>6.509E-3</v>
      </c>
      <c r="J307" s="17">
        <v>0</v>
      </c>
    </row>
    <row r="308" spans="1:12" x14ac:dyDescent="0.3">
      <c r="A308" s="19">
        <v>45771.530706018515</v>
      </c>
      <c r="B308" s="43" t="s">
        <v>524</v>
      </c>
      <c r="C308" t="s">
        <v>741</v>
      </c>
      <c r="D308" s="13">
        <v>0</v>
      </c>
      <c r="H308" s="29">
        <v>0.05</v>
      </c>
      <c r="I308" s="29">
        <v>6.509E-3</v>
      </c>
      <c r="J308" s="17">
        <v>0</v>
      </c>
    </row>
    <row r="309" spans="1:12" x14ac:dyDescent="0.3">
      <c r="A309" s="19">
        <v>45771.530706018515</v>
      </c>
      <c r="B309" s="43" t="s">
        <v>524</v>
      </c>
      <c r="C309" t="s">
        <v>742</v>
      </c>
      <c r="D309" s="13">
        <v>11190</v>
      </c>
      <c r="E309" t="s">
        <v>853</v>
      </c>
      <c r="G309" t="s">
        <v>854</v>
      </c>
      <c r="H309" s="29">
        <v>0.05</v>
      </c>
      <c r="I309" s="29">
        <v>6.509E-3</v>
      </c>
      <c r="J309" s="17">
        <v>0</v>
      </c>
    </row>
    <row r="310" spans="1:12" x14ac:dyDescent="0.3">
      <c r="A310" s="19">
        <v>45771.530706018515</v>
      </c>
      <c r="B310" s="43" t="s">
        <v>524</v>
      </c>
      <c r="C310" t="s">
        <v>743</v>
      </c>
      <c r="D310" s="13">
        <v>0</v>
      </c>
      <c r="H310" s="29">
        <v>0.05</v>
      </c>
      <c r="I310" s="29">
        <v>6.509E-3</v>
      </c>
      <c r="J310" s="17">
        <v>0</v>
      </c>
    </row>
    <row r="311" spans="1:12" x14ac:dyDescent="0.3">
      <c r="A311" s="19">
        <v>45771.530706018515</v>
      </c>
      <c r="B311" s="43" t="s">
        <v>524</v>
      </c>
      <c r="C311" t="s">
        <v>744</v>
      </c>
      <c r="D311" s="13">
        <v>0</v>
      </c>
      <c r="H311" s="29">
        <v>0.05</v>
      </c>
      <c r="I311" s="29">
        <v>6.509E-3</v>
      </c>
      <c r="J311" s="17">
        <v>0</v>
      </c>
    </row>
    <row r="312" spans="1:12" x14ac:dyDescent="0.3">
      <c r="A312" s="19">
        <v>45771.530706018515</v>
      </c>
      <c r="B312">
        <v>8320</v>
      </c>
      <c r="C312" t="s">
        <v>798</v>
      </c>
      <c r="K312" t="s">
        <v>855</v>
      </c>
    </row>
    <row r="313" spans="1:12" x14ac:dyDescent="0.3">
      <c r="A313" s="19">
        <v>45771.530706018515</v>
      </c>
      <c r="B313">
        <v>8320</v>
      </c>
      <c r="C313" t="s">
        <v>798</v>
      </c>
      <c r="L313" t="s">
        <v>830</v>
      </c>
    </row>
    <row r="314" spans="1:12" x14ac:dyDescent="0.3">
      <c r="A314" s="19">
        <v>45771.530706018515</v>
      </c>
      <c r="B314">
        <v>8320</v>
      </c>
      <c r="C314" t="s">
        <v>798</v>
      </c>
      <c r="K314" t="s">
        <v>856</v>
      </c>
      <c r="L314" t="s">
        <v>857</v>
      </c>
    </row>
    <row r="315" spans="1:12" x14ac:dyDescent="0.3">
      <c r="A315" s="19">
        <v>45771.53125</v>
      </c>
      <c r="B315" s="43" t="s">
        <v>524</v>
      </c>
      <c r="C315" t="s">
        <v>740</v>
      </c>
      <c r="D315" s="13">
        <v>0</v>
      </c>
      <c r="H315" s="29">
        <v>0.05</v>
      </c>
      <c r="I315" s="29">
        <v>6.509E-3</v>
      </c>
      <c r="J315" s="17">
        <v>0</v>
      </c>
    </row>
    <row r="316" spans="1:12" x14ac:dyDescent="0.3">
      <c r="A316" s="19">
        <v>45771.53125</v>
      </c>
      <c r="B316" s="43" t="s">
        <v>524</v>
      </c>
      <c r="C316" t="s">
        <v>741</v>
      </c>
      <c r="D316" s="13">
        <v>0</v>
      </c>
      <c r="H316" s="29">
        <v>0.05</v>
      </c>
      <c r="I316" s="29">
        <v>6.509E-3</v>
      </c>
      <c r="J316" s="17">
        <v>0</v>
      </c>
    </row>
    <row r="317" spans="1:12" x14ac:dyDescent="0.3">
      <c r="A317" s="19">
        <v>45771.53125</v>
      </c>
      <c r="B317" s="43" t="s">
        <v>524</v>
      </c>
      <c r="C317" t="s">
        <v>742</v>
      </c>
      <c r="D317" s="13">
        <v>11190</v>
      </c>
      <c r="E317" t="s">
        <v>853</v>
      </c>
      <c r="G317" t="s">
        <v>854</v>
      </c>
      <c r="H317" s="29">
        <v>0.05</v>
      </c>
      <c r="I317" s="29">
        <v>6.509E-3</v>
      </c>
      <c r="J317" s="17">
        <v>0</v>
      </c>
    </row>
    <row r="318" spans="1:12" x14ac:dyDescent="0.3">
      <c r="A318" s="19">
        <v>45771.53125</v>
      </c>
      <c r="B318" s="43" t="s">
        <v>524</v>
      </c>
      <c r="C318" t="s">
        <v>743</v>
      </c>
      <c r="D318" s="13">
        <v>0</v>
      </c>
      <c r="H318" s="29">
        <v>0.05</v>
      </c>
      <c r="I318" s="29">
        <v>6.509E-3</v>
      </c>
      <c r="J318" s="17">
        <v>0</v>
      </c>
    </row>
    <row r="319" spans="1:12" x14ac:dyDescent="0.3">
      <c r="A319" s="19">
        <v>45771.53125</v>
      </c>
      <c r="B319" s="43" t="s">
        <v>524</v>
      </c>
      <c r="C319" t="s">
        <v>744</v>
      </c>
      <c r="D319" s="13">
        <v>0</v>
      </c>
      <c r="H319" s="29">
        <v>0.05</v>
      </c>
      <c r="I319" s="29">
        <v>6.509E-3</v>
      </c>
      <c r="J319" s="17">
        <v>0</v>
      </c>
    </row>
    <row r="320" spans="1:12" x14ac:dyDescent="0.3">
      <c r="A320" s="19">
        <v>45771.53125</v>
      </c>
      <c r="B320">
        <v>8320</v>
      </c>
      <c r="C320" t="s">
        <v>798</v>
      </c>
      <c r="K320" t="s">
        <v>855</v>
      </c>
    </row>
    <row r="321" spans="1:12" x14ac:dyDescent="0.3">
      <c r="A321" s="19">
        <v>45771.53125</v>
      </c>
      <c r="B321">
        <v>8320</v>
      </c>
      <c r="C321" t="s">
        <v>798</v>
      </c>
      <c r="L321" t="s">
        <v>830</v>
      </c>
    </row>
    <row r="322" spans="1:12" x14ac:dyDescent="0.3">
      <c r="A322" s="19">
        <v>45771.53125</v>
      </c>
      <c r="B322">
        <v>8320</v>
      </c>
      <c r="C322" t="s">
        <v>798</v>
      </c>
      <c r="K322" t="s">
        <v>856</v>
      </c>
      <c r="L322" t="s">
        <v>857</v>
      </c>
    </row>
    <row r="323" spans="1:12" x14ac:dyDescent="0.3">
      <c r="A323" s="19">
        <v>45771.5315625</v>
      </c>
      <c r="B323" s="43" t="s">
        <v>529</v>
      </c>
      <c r="C323" t="s">
        <v>740</v>
      </c>
      <c r="D323" s="13">
        <v>32895</v>
      </c>
      <c r="H323" s="29">
        <v>0.2</v>
      </c>
      <c r="I323" s="29">
        <v>0</v>
      </c>
      <c r="J323" s="17">
        <v>0</v>
      </c>
    </row>
    <row r="324" spans="1:12" x14ac:dyDescent="0.3">
      <c r="A324" s="19">
        <v>45771.5315625</v>
      </c>
      <c r="B324" s="43" t="s">
        <v>529</v>
      </c>
      <c r="C324" t="s">
        <v>741</v>
      </c>
      <c r="D324" s="13">
        <v>0</v>
      </c>
      <c r="H324" s="29">
        <v>0.2</v>
      </c>
      <c r="I324" s="29">
        <v>0</v>
      </c>
      <c r="J324" s="17">
        <v>0</v>
      </c>
    </row>
    <row r="325" spans="1:12" x14ac:dyDescent="0.3">
      <c r="A325" s="19">
        <v>45771.5315625</v>
      </c>
      <c r="B325" s="43" t="s">
        <v>529</v>
      </c>
      <c r="C325" t="s">
        <v>742</v>
      </c>
      <c r="D325" s="13">
        <v>0</v>
      </c>
      <c r="H325" s="29">
        <v>0.2</v>
      </c>
      <c r="I325" s="29">
        <v>0</v>
      </c>
      <c r="J325" s="17">
        <v>0</v>
      </c>
    </row>
    <row r="326" spans="1:12" x14ac:dyDescent="0.3">
      <c r="A326" s="19">
        <v>45771.5315625</v>
      </c>
      <c r="B326" s="43" t="s">
        <v>529</v>
      </c>
      <c r="C326" t="s">
        <v>743</v>
      </c>
      <c r="D326" s="13">
        <v>48900</v>
      </c>
      <c r="H326" s="29">
        <v>0.2</v>
      </c>
      <c r="I326" s="29">
        <v>0</v>
      </c>
      <c r="J326" s="17">
        <v>0</v>
      </c>
    </row>
    <row r="327" spans="1:12" x14ac:dyDescent="0.3">
      <c r="A327" s="19">
        <v>45771.5315625</v>
      </c>
      <c r="B327" s="43" t="s">
        <v>529</v>
      </c>
      <c r="C327" t="s">
        <v>744</v>
      </c>
      <c r="D327" s="13">
        <v>0</v>
      </c>
      <c r="H327" s="29">
        <v>0.2</v>
      </c>
      <c r="I327" s="29">
        <v>0</v>
      </c>
      <c r="J327" s="17">
        <v>0</v>
      </c>
    </row>
    <row r="328" spans="1:12" x14ac:dyDescent="0.3">
      <c r="A328" s="19">
        <v>45771.532719907409</v>
      </c>
      <c r="B328" s="43" t="s">
        <v>533</v>
      </c>
      <c r="C328" t="s">
        <v>740</v>
      </c>
      <c r="D328" s="13">
        <v>0</v>
      </c>
      <c r="H328" s="29">
        <v>0.05</v>
      </c>
      <c r="I328" s="29">
        <v>4.5298999999999999E-2</v>
      </c>
      <c r="J328" s="17">
        <v>0</v>
      </c>
    </row>
    <row r="329" spans="1:12" x14ac:dyDescent="0.3">
      <c r="A329" s="19">
        <v>45771.532719907409</v>
      </c>
      <c r="B329" s="43" t="s">
        <v>533</v>
      </c>
      <c r="C329" t="s">
        <v>741</v>
      </c>
      <c r="D329" s="13">
        <v>0</v>
      </c>
      <c r="H329" s="29">
        <v>0.05</v>
      </c>
      <c r="I329" s="29">
        <v>4.5298999999999999E-2</v>
      </c>
      <c r="J329" s="17">
        <v>0</v>
      </c>
    </row>
    <row r="330" spans="1:12" x14ac:dyDescent="0.3">
      <c r="A330" s="19">
        <v>45771.532719907409</v>
      </c>
      <c r="B330" s="43" t="s">
        <v>533</v>
      </c>
      <c r="C330" t="s">
        <v>742</v>
      </c>
      <c r="D330" s="13">
        <v>0</v>
      </c>
      <c r="H330" s="29">
        <v>0.05</v>
      </c>
      <c r="I330" s="29">
        <v>4.5298999999999999E-2</v>
      </c>
      <c r="J330" s="17">
        <v>0</v>
      </c>
    </row>
    <row r="331" spans="1:12" x14ac:dyDescent="0.3">
      <c r="A331" s="19">
        <v>45771.532719907409</v>
      </c>
      <c r="B331" s="43" t="s">
        <v>533</v>
      </c>
      <c r="C331" t="s">
        <v>743</v>
      </c>
      <c r="D331" s="13">
        <v>35040</v>
      </c>
      <c r="H331" s="29">
        <v>0.05</v>
      </c>
      <c r="I331" s="29">
        <v>4.5298999999999999E-2</v>
      </c>
      <c r="J331" s="17">
        <v>0</v>
      </c>
    </row>
    <row r="332" spans="1:12" x14ac:dyDescent="0.3">
      <c r="A332" s="19">
        <v>45771.532719907409</v>
      </c>
      <c r="B332" s="43" t="s">
        <v>533</v>
      </c>
      <c r="C332" t="s">
        <v>744</v>
      </c>
      <c r="D332" s="13">
        <v>0</v>
      </c>
      <c r="H332" s="29">
        <v>0.05</v>
      </c>
      <c r="I332" s="29">
        <v>4.5298999999999999E-2</v>
      </c>
      <c r="J332" s="17">
        <v>0</v>
      </c>
    </row>
    <row r="333" spans="1:12" x14ac:dyDescent="0.3">
      <c r="A333" s="19">
        <v>45771.533101851855</v>
      </c>
      <c r="B333" s="43" t="s">
        <v>538</v>
      </c>
      <c r="C333" t="s">
        <v>740</v>
      </c>
      <c r="D333" s="13">
        <v>0</v>
      </c>
      <c r="H333" s="29">
        <v>0.15</v>
      </c>
      <c r="I333" s="29">
        <v>0.223687</v>
      </c>
      <c r="J333" s="17">
        <v>0</v>
      </c>
    </row>
    <row r="334" spans="1:12" x14ac:dyDescent="0.3">
      <c r="A334" s="19">
        <v>45771.533101851855</v>
      </c>
      <c r="B334" s="43" t="s">
        <v>538</v>
      </c>
      <c r="C334" t="s">
        <v>741</v>
      </c>
      <c r="D334" s="13">
        <v>0</v>
      </c>
      <c r="H334" s="29">
        <v>0.15</v>
      </c>
      <c r="I334" s="29">
        <v>0.223687</v>
      </c>
      <c r="J334" s="17">
        <v>0</v>
      </c>
    </row>
    <row r="335" spans="1:12" x14ac:dyDescent="0.3">
      <c r="A335" s="19">
        <v>45771.533101851855</v>
      </c>
      <c r="B335" s="43" t="s">
        <v>538</v>
      </c>
      <c r="C335" t="s">
        <v>742</v>
      </c>
      <c r="D335" s="13">
        <v>0</v>
      </c>
      <c r="H335" s="29">
        <v>0.15</v>
      </c>
      <c r="I335" s="29">
        <v>0.223687</v>
      </c>
      <c r="J335" s="17">
        <v>0</v>
      </c>
    </row>
    <row r="336" spans="1:12" x14ac:dyDescent="0.3">
      <c r="A336" s="19">
        <v>45771.533101851855</v>
      </c>
      <c r="B336" s="43" t="s">
        <v>538</v>
      </c>
      <c r="C336" t="s">
        <v>743</v>
      </c>
      <c r="D336" s="13">
        <v>30474</v>
      </c>
      <c r="H336" s="29">
        <v>0.15</v>
      </c>
      <c r="I336" s="29">
        <v>0.223687</v>
      </c>
      <c r="J336" s="17">
        <v>0</v>
      </c>
    </row>
    <row r="337" spans="1:10" x14ac:dyDescent="0.3">
      <c r="A337" s="19">
        <v>45771.533101851855</v>
      </c>
      <c r="B337" s="43" t="s">
        <v>538</v>
      </c>
      <c r="C337" t="s">
        <v>744</v>
      </c>
      <c r="D337" s="13">
        <v>0</v>
      </c>
      <c r="H337" s="29">
        <v>0.15</v>
      </c>
      <c r="I337" s="29">
        <v>0.223687</v>
      </c>
      <c r="J337" s="17">
        <v>0</v>
      </c>
    </row>
    <row r="338" spans="1:10" x14ac:dyDescent="0.3">
      <c r="A338" s="19">
        <v>45771.533680555556</v>
      </c>
      <c r="B338" s="43" t="s">
        <v>541</v>
      </c>
      <c r="C338" t="s">
        <v>740</v>
      </c>
      <c r="D338" s="13">
        <v>0</v>
      </c>
      <c r="H338" s="29">
        <v>0.1</v>
      </c>
      <c r="I338" s="29">
        <v>0.31092900000000001</v>
      </c>
      <c r="J338" s="17">
        <v>0</v>
      </c>
    </row>
    <row r="339" spans="1:10" x14ac:dyDescent="0.3">
      <c r="A339" s="19">
        <v>45771.533680555556</v>
      </c>
      <c r="B339" s="43" t="s">
        <v>541</v>
      </c>
      <c r="C339" t="s">
        <v>741</v>
      </c>
      <c r="D339" s="13">
        <v>4465</v>
      </c>
      <c r="H339" s="29">
        <v>0.1</v>
      </c>
      <c r="I339" s="29">
        <v>0.31092900000000001</v>
      </c>
      <c r="J339" s="17">
        <v>0</v>
      </c>
    </row>
    <row r="340" spans="1:10" x14ac:dyDescent="0.3">
      <c r="A340" s="19">
        <v>45771.533680555556</v>
      </c>
      <c r="B340" s="43" t="s">
        <v>541</v>
      </c>
      <c r="C340" t="s">
        <v>742</v>
      </c>
      <c r="D340" s="13">
        <v>0</v>
      </c>
      <c r="H340" s="29">
        <v>0.1</v>
      </c>
      <c r="I340" s="29">
        <v>0.31092900000000001</v>
      </c>
      <c r="J340" s="17">
        <v>0</v>
      </c>
    </row>
    <row r="341" spans="1:10" x14ac:dyDescent="0.3">
      <c r="A341" s="19">
        <v>45771.533680555556</v>
      </c>
      <c r="B341" s="43" t="s">
        <v>541</v>
      </c>
      <c r="C341" t="s">
        <v>743</v>
      </c>
      <c r="D341" s="13">
        <v>0</v>
      </c>
      <c r="H341" s="29">
        <v>0.1</v>
      </c>
      <c r="I341" s="29">
        <v>0.31092900000000001</v>
      </c>
      <c r="J341" s="17">
        <v>0</v>
      </c>
    </row>
    <row r="342" spans="1:10" x14ac:dyDescent="0.3">
      <c r="A342" s="19">
        <v>45771.533680555556</v>
      </c>
      <c r="B342" s="43" t="s">
        <v>541</v>
      </c>
      <c r="C342" t="s">
        <v>744</v>
      </c>
      <c r="D342" s="13">
        <v>0</v>
      </c>
      <c r="H342" s="29">
        <v>0.1</v>
      </c>
      <c r="I342" s="29">
        <v>0.31092900000000001</v>
      </c>
      <c r="J342" s="17">
        <v>0</v>
      </c>
    </row>
    <row r="343" spans="1:10" x14ac:dyDescent="0.3">
      <c r="A343" s="19">
        <v>45771.53398148148</v>
      </c>
      <c r="B343" s="43" t="s">
        <v>543</v>
      </c>
      <c r="C343" t="s">
        <v>740</v>
      </c>
      <c r="D343" s="13">
        <v>0</v>
      </c>
      <c r="H343" s="29">
        <v>0.2</v>
      </c>
      <c r="I343" s="29">
        <v>0.14568300000000001</v>
      </c>
      <c r="J343" s="17">
        <v>0</v>
      </c>
    </row>
    <row r="344" spans="1:10" x14ac:dyDescent="0.3">
      <c r="A344" s="19">
        <v>45771.53398148148</v>
      </c>
      <c r="B344" s="43" t="s">
        <v>543</v>
      </c>
      <c r="C344" t="s">
        <v>741</v>
      </c>
      <c r="D344" s="13">
        <v>15750</v>
      </c>
      <c r="H344" s="29">
        <v>0.2</v>
      </c>
      <c r="I344" s="29">
        <v>0.14568300000000001</v>
      </c>
      <c r="J344" s="17">
        <v>0</v>
      </c>
    </row>
    <row r="345" spans="1:10" x14ac:dyDescent="0.3">
      <c r="A345" s="19">
        <v>45771.53398148148</v>
      </c>
      <c r="B345" s="43" t="s">
        <v>543</v>
      </c>
      <c r="C345" t="s">
        <v>742</v>
      </c>
      <c r="D345" s="13">
        <v>0</v>
      </c>
      <c r="H345" s="29">
        <v>0.2</v>
      </c>
      <c r="I345" s="29">
        <v>0.14568300000000001</v>
      </c>
      <c r="J345" s="17">
        <v>0</v>
      </c>
    </row>
    <row r="346" spans="1:10" x14ac:dyDescent="0.3">
      <c r="A346" s="19">
        <v>45771.53398148148</v>
      </c>
      <c r="B346" s="43" t="s">
        <v>543</v>
      </c>
      <c r="C346" t="s">
        <v>743</v>
      </c>
      <c r="D346" s="13">
        <v>0</v>
      </c>
      <c r="H346" s="29">
        <v>0.2</v>
      </c>
      <c r="I346" s="29">
        <v>0.14568300000000001</v>
      </c>
      <c r="J346" s="17">
        <v>0</v>
      </c>
    </row>
    <row r="347" spans="1:10" x14ac:dyDescent="0.3">
      <c r="A347" s="19">
        <v>45771.53398148148</v>
      </c>
      <c r="B347" s="43" t="s">
        <v>543</v>
      </c>
      <c r="C347" t="s">
        <v>744</v>
      </c>
      <c r="D347" s="13">
        <v>0</v>
      </c>
      <c r="H347" s="29">
        <v>0.2</v>
      </c>
      <c r="I347" s="29">
        <v>0.14568300000000001</v>
      </c>
      <c r="J347" s="17">
        <v>0</v>
      </c>
    </row>
    <row r="348" spans="1:10" x14ac:dyDescent="0.3">
      <c r="A348" s="19">
        <v>45771.53434027778</v>
      </c>
      <c r="B348" s="43" t="s">
        <v>543</v>
      </c>
      <c r="C348" t="s">
        <v>740</v>
      </c>
      <c r="D348" s="13">
        <v>0</v>
      </c>
      <c r="H348" s="29">
        <v>0.2</v>
      </c>
      <c r="I348" s="29">
        <v>0.14568300000000001</v>
      </c>
      <c r="J348" s="17">
        <v>0</v>
      </c>
    </row>
    <row r="349" spans="1:10" x14ac:dyDescent="0.3">
      <c r="A349" s="19">
        <v>45771.53434027778</v>
      </c>
      <c r="B349" s="43" t="s">
        <v>543</v>
      </c>
      <c r="C349" t="s">
        <v>741</v>
      </c>
      <c r="D349" s="13">
        <v>15750</v>
      </c>
      <c r="G349" t="s">
        <v>858</v>
      </c>
      <c r="H349" s="29">
        <v>0.2</v>
      </c>
      <c r="I349" s="29">
        <v>0.14568300000000001</v>
      </c>
      <c r="J349" s="17">
        <v>0</v>
      </c>
    </row>
    <row r="350" spans="1:10" x14ac:dyDescent="0.3">
      <c r="A350" s="19">
        <v>45771.53434027778</v>
      </c>
      <c r="B350" s="43" t="s">
        <v>543</v>
      </c>
      <c r="C350" t="s">
        <v>742</v>
      </c>
      <c r="D350" s="13">
        <v>0</v>
      </c>
      <c r="H350" s="29">
        <v>0.2</v>
      </c>
      <c r="I350" s="29">
        <v>0.14568300000000001</v>
      </c>
      <c r="J350" s="17">
        <v>0</v>
      </c>
    </row>
    <row r="351" spans="1:10" x14ac:dyDescent="0.3">
      <c r="A351" s="19">
        <v>45771.53434027778</v>
      </c>
      <c r="B351" s="43" t="s">
        <v>543</v>
      </c>
      <c r="C351" t="s">
        <v>743</v>
      </c>
      <c r="D351" s="13">
        <v>0</v>
      </c>
      <c r="H351" s="29">
        <v>0.2</v>
      </c>
      <c r="I351" s="29">
        <v>0.14568300000000001</v>
      </c>
      <c r="J351" s="17">
        <v>0</v>
      </c>
    </row>
    <row r="352" spans="1:10" x14ac:dyDescent="0.3">
      <c r="A352" s="19">
        <v>45771.53434027778</v>
      </c>
      <c r="B352" s="43" t="s">
        <v>543</v>
      </c>
      <c r="C352" t="s">
        <v>744</v>
      </c>
      <c r="D352" s="13">
        <v>0</v>
      </c>
      <c r="H352" s="29">
        <v>0.2</v>
      </c>
      <c r="I352" s="29">
        <v>0.14568300000000001</v>
      </c>
      <c r="J352" s="17">
        <v>0</v>
      </c>
    </row>
    <row r="353" spans="1:10" x14ac:dyDescent="0.3">
      <c r="A353" s="19">
        <v>45771.535162037035</v>
      </c>
      <c r="B353" s="43" t="s">
        <v>550</v>
      </c>
      <c r="C353" t="s">
        <v>740</v>
      </c>
      <c r="D353" s="13">
        <v>0</v>
      </c>
      <c r="H353" s="29">
        <v>0</v>
      </c>
      <c r="I353" s="29">
        <v>0.46285799999999999</v>
      </c>
      <c r="J353" s="17">
        <v>0</v>
      </c>
    </row>
    <row r="354" spans="1:10" x14ac:dyDescent="0.3">
      <c r="A354" s="19">
        <v>45771.535162037035</v>
      </c>
      <c r="B354" s="43" t="s">
        <v>550</v>
      </c>
      <c r="C354" t="s">
        <v>741</v>
      </c>
      <c r="D354" s="13">
        <v>14000</v>
      </c>
      <c r="G354" t="s">
        <v>859</v>
      </c>
      <c r="H354" s="29">
        <v>0</v>
      </c>
      <c r="I354" s="29">
        <v>0.46285799999999999</v>
      </c>
      <c r="J354" s="17">
        <v>0</v>
      </c>
    </row>
    <row r="355" spans="1:10" x14ac:dyDescent="0.3">
      <c r="A355" s="19">
        <v>45771.535162037035</v>
      </c>
      <c r="B355" s="43" t="s">
        <v>550</v>
      </c>
      <c r="C355" t="s">
        <v>742</v>
      </c>
      <c r="D355" s="13">
        <v>0</v>
      </c>
      <c r="H355" s="29">
        <v>0</v>
      </c>
      <c r="I355" s="29">
        <v>0.46285799999999999</v>
      </c>
      <c r="J355" s="17">
        <v>0</v>
      </c>
    </row>
    <row r="356" spans="1:10" x14ac:dyDescent="0.3">
      <c r="A356" s="19">
        <v>45771.535162037035</v>
      </c>
      <c r="B356" s="43" t="s">
        <v>550</v>
      </c>
      <c r="C356" t="s">
        <v>743</v>
      </c>
      <c r="D356" s="13">
        <v>0</v>
      </c>
      <c r="H356" s="29">
        <v>0</v>
      </c>
      <c r="I356" s="29">
        <v>0.46285799999999999</v>
      </c>
      <c r="J356" s="17">
        <v>0</v>
      </c>
    </row>
    <row r="357" spans="1:10" x14ac:dyDescent="0.3">
      <c r="A357" s="19">
        <v>45771.535162037035</v>
      </c>
      <c r="B357" s="43" t="s">
        <v>550</v>
      </c>
      <c r="C357" t="s">
        <v>744</v>
      </c>
      <c r="D357" s="13">
        <v>0</v>
      </c>
      <c r="H357" s="29">
        <v>0</v>
      </c>
      <c r="I357" s="29">
        <v>0.46285799999999999</v>
      </c>
      <c r="J357" s="17">
        <v>0</v>
      </c>
    </row>
    <row r="358" spans="1:10" x14ac:dyDescent="0.3">
      <c r="A358" s="19">
        <v>45771.535613425927</v>
      </c>
      <c r="B358" s="43" t="s">
        <v>553</v>
      </c>
      <c r="C358" t="s">
        <v>740</v>
      </c>
      <c r="D358" s="13">
        <v>0</v>
      </c>
      <c r="H358" s="29">
        <v>0.05</v>
      </c>
      <c r="I358" s="29">
        <v>0.112107</v>
      </c>
      <c r="J358" s="17">
        <v>0</v>
      </c>
    </row>
    <row r="359" spans="1:10" x14ac:dyDescent="0.3">
      <c r="A359" s="19">
        <v>45771.535613425927</v>
      </c>
      <c r="B359" s="43" t="s">
        <v>553</v>
      </c>
      <c r="C359" t="s">
        <v>741</v>
      </c>
      <c r="D359" s="13">
        <v>16500</v>
      </c>
      <c r="H359" s="29">
        <v>0.05</v>
      </c>
      <c r="I359" s="29">
        <v>0.112107</v>
      </c>
      <c r="J359" s="17">
        <v>0</v>
      </c>
    </row>
    <row r="360" spans="1:10" x14ac:dyDescent="0.3">
      <c r="A360" s="19">
        <v>45771.535613425927</v>
      </c>
      <c r="B360" s="43" t="s">
        <v>553</v>
      </c>
      <c r="C360" t="s">
        <v>742</v>
      </c>
      <c r="D360" s="13">
        <v>3760</v>
      </c>
      <c r="H360" s="29">
        <v>0.05</v>
      </c>
      <c r="I360" s="29">
        <v>0.112107</v>
      </c>
      <c r="J360" s="17">
        <v>0</v>
      </c>
    </row>
    <row r="361" spans="1:10" x14ac:dyDescent="0.3">
      <c r="A361" s="19">
        <v>45771.535613425927</v>
      </c>
      <c r="B361" s="43" t="s">
        <v>553</v>
      </c>
      <c r="C361" t="s">
        <v>743</v>
      </c>
      <c r="D361" s="13">
        <v>1830</v>
      </c>
      <c r="H361" s="29">
        <v>0.05</v>
      </c>
      <c r="I361" s="29">
        <v>0.112107</v>
      </c>
      <c r="J361" s="17">
        <v>0</v>
      </c>
    </row>
    <row r="362" spans="1:10" x14ac:dyDescent="0.3">
      <c r="A362" s="19">
        <v>45771.535613425927</v>
      </c>
      <c r="B362" s="43" t="s">
        <v>553</v>
      </c>
      <c r="C362" t="s">
        <v>744</v>
      </c>
      <c r="D362" s="13">
        <v>0</v>
      </c>
      <c r="H362" s="29">
        <v>0.05</v>
      </c>
      <c r="I362" s="29">
        <v>0.112107</v>
      </c>
      <c r="J362" s="17">
        <v>0</v>
      </c>
    </row>
    <row r="363" spans="1:10" x14ac:dyDescent="0.3">
      <c r="A363" s="19">
        <v>45771.537106481483</v>
      </c>
      <c r="B363" s="43" t="s">
        <v>570</v>
      </c>
      <c r="C363" t="s">
        <v>740</v>
      </c>
      <c r="D363" s="13">
        <v>0</v>
      </c>
      <c r="H363" s="29">
        <v>0.1</v>
      </c>
      <c r="I363" s="29">
        <v>4.4823000000000002E-2</v>
      </c>
      <c r="J363" s="17">
        <v>0</v>
      </c>
    </row>
    <row r="364" spans="1:10" x14ac:dyDescent="0.3">
      <c r="A364" s="19">
        <v>45771.537106481483</v>
      </c>
      <c r="B364" s="43" t="s">
        <v>570</v>
      </c>
      <c r="C364" t="s">
        <v>741</v>
      </c>
      <c r="D364" s="13">
        <v>0</v>
      </c>
      <c r="H364" s="29">
        <v>0.1</v>
      </c>
      <c r="I364" s="29">
        <v>4.4823000000000002E-2</v>
      </c>
      <c r="J364" s="17">
        <v>0</v>
      </c>
    </row>
    <row r="365" spans="1:10" x14ac:dyDescent="0.3">
      <c r="A365" s="19">
        <v>45771.537106481483</v>
      </c>
      <c r="B365" s="43" t="s">
        <v>570</v>
      </c>
      <c r="C365" t="s">
        <v>742</v>
      </c>
      <c r="D365" s="13">
        <v>8210</v>
      </c>
      <c r="H365" s="29">
        <v>0.1</v>
      </c>
      <c r="I365" s="29">
        <v>4.4823000000000002E-2</v>
      </c>
      <c r="J365" s="17">
        <v>0</v>
      </c>
    </row>
    <row r="366" spans="1:10" x14ac:dyDescent="0.3">
      <c r="A366" s="19">
        <v>45771.537106481483</v>
      </c>
      <c r="B366" s="43" t="s">
        <v>570</v>
      </c>
      <c r="C366" t="s">
        <v>743</v>
      </c>
      <c r="D366" s="13">
        <v>0</v>
      </c>
      <c r="H366" s="29">
        <v>0.1</v>
      </c>
      <c r="I366" s="29">
        <v>4.4823000000000002E-2</v>
      </c>
      <c r="J366" s="17">
        <v>0</v>
      </c>
    </row>
    <row r="367" spans="1:10" x14ac:dyDescent="0.3">
      <c r="A367" s="19">
        <v>45771.537106481483</v>
      </c>
      <c r="B367" s="43" t="s">
        <v>570</v>
      </c>
      <c r="C367" t="s">
        <v>744</v>
      </c>
      <c r="D367" s="13">
        <v>0</v>
      </c>
      <c r="H367" s="29">
        <v>0.1</v>
      </c>
      <c r="I367" s="29">
        <v>4.4823000000000002E-2</v>
      </c>
      <c r="J367" s="17">
        <v>0</v>
      </c>
    </row>
    <row r="368" spans="1:10" x14ac:dyDescent="0.3">
      <c r="A368" s="19">
        <v>45771.537685185183</v>
      </c>
      <c r="B368" s="43" t="s">
        <v>575</v>
      </c>
      <c r="C368" t="s">
        <v>740</v>
      </c>
      <c r="D368" s="13">
        <v>0</v>
      </c>
      <c r="H368" s="29">
        <v>0.05</v>
      </c>
      <c r="I368" s="29">
        <v>2.0528999999999999E-2</v>
      </c>
      <c r="J368" s="17">
        <v>0</v>
      </c>
    </row>
    <row r="369" spans="1:10" x14ac:dyDescent="0.3">
      <c r="A369" s="19">
        <v>45771.537685185183</v>
      </c>
      <c r="B369" s="43" t="s">
        <v>575</v>
      </c>
      <c r="C369" t="s">
        <v>741</v>
      </c>
      <c r="D369" s="13">
        <v>1800</v>
      </c>
      <c r="H369" s="29">
        <v>0.05</v>
      </c>
      <c r="I369" s="29">
        <v>2.0528999999999999E-2</v>
      </c>
      <c r="J369" s="17">
        <v>0</v>
      </c>
    </row>
    <row r="370" spans="1:10" x14ac:dyDescent="0.3">
      <c r="A370" s="19">
        <v>45771.537685185183</v>
      </c>
      <c r="B370" s="43" t="s">
        <v>575</v>
      </c>
      <c r="C370" t="s">
        <v>742</v>
      </c>
      <c r="D370" s="13">
        <v>54960</v>
      </c>
      <c r="H370" s="29">
        <v>0.05</v>
      </c>
      <c r="I370" s="29">
        <v>2.0528999999999999E-2</v>
      </c>
      <c r="J370" s="17">
        <v>0</v>
      </c>
    </row>
    <row r="371" spans="1:10" x14ac:dyDescent="0.3">
      <c r="A371" s="19">
        <v>45771.537685185183</v>
      </c>
      <c r="B371" s="43" t="s">
        <v>575</v>
      </c>
      <c r="C371" t="s">
        <v>743</v>
      </c>
      <c r="D371" s="13">
        <v>0</v>
      </c>
      <c r="H371" s="29">
        <v>0.05</v>
      </c>
      <c r="I371" s="29">
        <v>2.0528999999999999E-2</v>
      </c>
      <c r="J371" s="17">
        <v>0</v>
      </c>
    </row>
    <row r="372" spans="1:10" x14ac:dyDescent="0.3">
      <c r="A372" s="19">
        <v>45771.537685185183</v>
      </c>
      <c r="B372" s="43" t="s">
        <v>575</v>
      </c>
      <c r="C372" t="s">
        <v>744</v>
      </c>
      <c r="D372" s="13">
        <v>0</v>
      </c>
      <c r="H372" s="29">
        <v>0.05</v>
      </c>
      <c r="I372" s="29">
        <v>2.0528999999999999E-2</v>
      </c>
      <c r="J372" s="17">
        <v>0</v>
      </c>
    </row>
    <row r="373" spans="1:10" x14ac:dyDescent="0.3">
      <c r="A373" s="19">
        <v>45771.538113425922</v>
      </c>
      <c r="B373" s="43" t="s">
        <v>575</v>
      </c>
      <c r="C373" t="s">
        <v>740</v>
      </c>
      <c r="D373" s="13">
        <v>0</v>
      </c>
      <c r="H373" s="29">
        <v>0.05</v>
      </c>
      <c r="I373" s="29">
        <v>2.0528999999999999E-2</v>
      </c>
      <c r="J373" s="17">
        <v>0</v>
      </c>
    </row>
    <row r="374" spans="1:10" x14ac:dyDescent="0.3">
      <c r="A374" s="19">
        <v>45771.538113425922</v>
      </c>
      <c r="B374" s="43" t="s">
        <v>575</v>
      </c>
      <c r="C374" t="s">
        <v>741</v>
      </c>
      <c r="D374" s="13">
        <v>1800</v>
      </c>
      <c r="H374" s="29">
        <v>0.05</v>
      </c>
      <c r="I374" s="29">
        <v>2.0528999999999999E-2</v>
      </c>
      <c r="J374" s="17">
        <v>0</v>
      </c>
    </row>
    <row r="375" spans="1:10" x14ac:dyDescent="0.3">
      <c r="A375" s="19">
        <v>45771.538113425922</v>
      </c>
      <c r="B375" s="43" t="s">
        <v>575</v>
      </c>
      <c r="C375" t="s">
        <v>742</v>
      </c>
      <c r="D375" s="13">
        <v>54960</v>
      </c>
      <c r="H375" s="29">
        <v>0.05</v>
      </c>
      <c r="I375" s="29">
        <v>2.0528999999999999E-2</v>
      </c>
      <c r="J375" s="17">
        <v>0</v>
      </c>
    </row>
    <row r="376" spans="1:10" x14ac:dyDescent="0.3">
      <c r="A376" s="19">
        <v>45771.538113425922</v>
      </c>
      <c r="B376" s="43" t="s">
        <v>575</v>
      </c>
      <c r="C376" t="s">
        <v>743</v>
      </c>
      <c r="D376" s="13">
        <v>0</v>
      </c>
      <c r="H376" s="29">
        <v>0.05</v>
      </c>
      <c r="I376" s="29">
        <v>2.0528999999999999E-2</v>
      </c>
      <c r="J376" s="17">
        <v>0</v>
      </c>
    </row>
    <row r="377" spans="1:10" x14ac:dyDescent="0.3">
      <c r="A377" s="19">
        <v>45771.538113425922</v>
      </c>
      <c r="B377" s="43" t="s">
        <v>575</v>
      </c>
      <c r="C377" t="s">
        <v>744</v>
      </c>
      <c r="D377" s="13">
        <v>0</v>
      </c>
      <c r="H377" s="29">
        <v>0.05</v>
      </c>
      <c r="I377" s="29">
        <v>2.0528999999999999E-2</v>
      </c>
      <c r="J377" s="17">
        <v>0</v>
      </c>
    </row>
    <row r="378" spans="1:10" x14ac:dyDescent="0.3">
      <c r="A378" s="19">
        <v>45771.539687500001</v>
      </c>
      <c r="B378" s="43" t="s">
        <v>584</v>
      </c>
      <c r="C378" t="s">
        <v>740</v>
      </c>
      <c r="D378" s="13">
        <v>3088</v>
      </c>
      <c r="G378" t="s">
        <v>860</v>
      </c>
      <c r="H378" s="29">
        <v>0.2</v>
      </c>
      <c r="I378" s="29">
        <v>0.97883200000000004</v>
      </c>
      <c r="J378" s="17">
        <v>0</v>
      </c>
    </row>
    <row r="379" spans="1:10" x14ac:dyDescent="0.3">
      <c r="A379" s="19">
        <v>45771.539687500001</v>
      </c>
      <c r="B379" s="43" t="s">
        <v>584</v>
      </c>
      <c r="C379" t="s">
        <v>741</v>
      </c>
      <c r="D379" s="13">
        <v>0</v>
      </c>
      <c r="H379" s="29">
        <v>0.2</v>
      </c>
      <c r="I379" s="29">
        <v>0.97883200000000004</v>
      </c>
      <c r="J379" s="17">
        <v>0</v>
      </c>
    </row>
    <row r="380" spans="1:10" x14ac:dyDescent="0.3">
      <c r="A380" s="19">
        <v>45771.539687500001</v>
      </c>
      <c r="B380" s="43" t="s">
        <v>584</v>
      </c>
      <c r="C380" t="s">
        <v>742</v>
      </c>
      <c r="D380" s="13">
        <v>0</v>
      </c>
      <c r="H380" s="29">
        <v>0.2</v>
      </c>
      <c r="I380" s="29">
        <v>0.97883200000000004</v>
      </c>
      <c r="J380" s="17">
        <v>0</v>
      </c>
    </row>
    <row r="381" spans="1:10" x14ac:dyDescent="0.3">
      <c r="A381" s="19">
        <v>45771.539687500001</v>
      </c>
      <c r="B381" s="43" t="s">
        <v>584</v>
      </c>
      <c r="C381" t="s">
        <v>743</v>
      </c>
      <c r="D381" s="13">
        <v>0</v>
      </c>
      <c r="H381" s="29">
        <v>0.2</v>
      </c>
      <c r="I381" s="29">
        <v>0.97883200000000004</v>
      </c>
      <c r="J381" s="17">
        <v>0</v>
      </c>
    </row>
    <row r="382" spans="1:10" x14ac:dyDescent="0.3">
      <c r="A382" s="19">
        <v>45771.539687500001</v>
      </c>
      <c r="B382" s="43" t="s">
        <v>584</v>
      </c>
      <c r="C382" t="s">
        <v>744</v>
      </c>
      <c r="D382" s="13">
        <v>0</v>
      </c>
      <c r="H382" s="29">
        <v>0.2</v>
      </c>
      <c r="I382" s="29">
        <v>0.97883200000000004</v>
      </c>
      <c r="J382" s="17">
        <v>0</v>
      </c>
    </row>
    <row r="383" spans="1:10" x14ac:dyDescent="0.3">
      <c r="A383" s="19">
        <v>45771.559340277781</v>
      </c>
      <c r="B383" s="43" t="s">
        <v>586</v>
      </c>
      <c r="C383" t="s">
        <v>740</v>
      </c>
      <c r="D383" s="13">
        <v>0</v>
      </c>
      <c r="H383" s="29">
        <v>0.2</v>
      </c>
      <c r="I383" s="29">
        <v>0.1285</v>
      </c>
      <c r="J383" s="17">
        <v>0</v>
      </c>
    </row>
    <row r="384" spans="1:10" x14ac:dyDescent="0.3">
      <c r="A384" s="19">
        <v>45771.559340277781</v>
      </c>
      <c r="B384" s="43" t="s">
        <v>586</v>
      </c>
      <c r="C384" t="s">
        <v>741</v>
      </c>
      <c r="D384" s="13">
        <v>7400</v>
      </c>
      <c r="H384" s="29">
        <v>0.2</v>
      </c>
      <c r="I384" s="29">
        <v>0.1285</v>
      </c>
      <c r="J384" s="17">
        <v>0</v>
      </c>
    </row>
    <row r="385" spans="1:10" x14ac:dyDescent="0.3">
      <c r="A385" s="19">
        <v>45771.559340277781</v>
      </c>
      <c r="B385" s="43" t="s">
        <v>586</v>
      </c>
      <c r="C385" t="s">
        <v>742</v>
      </c>
      <c r="D385" s="13">
        <v>0</v>
      </c>
      <c r="H385" s="29">
        <v>0.2</v>
      </c>
      <c r="I385" s="29">
        <v>0.1285</v>
      </c>
      <c r="J385" s="17">
        <v>0</v>
      </c>
    </row>
    <row r="386" spans="1:10" x14ac:dyDescent="0.3">
      <c r="A386" s="19">
        <v>45771.559340277781</v>
      </c>
      <c r="B386" s="43" t="s">
        <v>586</v>
      </c>
      <c r="C386" t="s">
        <v>743</v>
      </c>
      <c r="D386" s="13">
        <v>0</v>
      </c>
      <c r="H386" s="29">
        <v>0.2</v>
      </c>
      <c r="I386" s="29">
        <v>0.1285</v>
      </c>
      <c r="J386" s="17">
        <v>0</v>
      </c>
    </row>
    <row r="387" spans="1:10" x14ac:dyDescent="0.3">
      <c r="A387" s="19">
        <v>45771.559340277781</v>
      </c>
      <c r="B387" s="43" t="s">
        <v>586</v>
      </c>
      <c r="C387" t="s">
        <v>744</v>
      </c>
      <c r="D387" s="13">
        <v>0</v>
      </c>
      <c r="H387" s="29">
        <v>0.2</v>
      </c>
      <c r="I387" s="29">
        <v>0.1285</v>
      </c>
      <c r="J387" s="17">
        <v>0</v>
      </c>
    </row>
    <row r="388" spans="1:10" x14ac:dyDescent="0.3">
      <c r="A388" s="19">
        <v>45771.559664351851</v>
      </c>
      <c r="B388" s="43" t="s">
        <v>586</v>
      </c>
      <c r="C388" t="s">
        <v>740</v>
      </c>
      <c r="D388" s="13">
        <v>0</v>
      </c>
      <c r="H388" s="29">
        <v>0.2</v>
      </c>
      <c r="I388" s="29">
        <v>0.1285</v>
      </c>
      <c r="J388" s="17">
        <v>0</v>
      </c>
    </row>
    <row r="389" spans="1:10" x14ac:dyDescent="0.3">
      <c r="A389" s="19">
        <v>45771.559664351851</v>
      </c>
      <c r="B389" s="43" t="s">
        <v>586</v>
      </c>
      <c r="C389" t="s">
        <v>741</v>
      </c>
      <c r="D389" s="13">
        <v>7400</v>
      </c>
      <c r="G389" t="s">
        <v>861</v>
      </c>
      <c r="H389" s="29">
        <v>0.2</v>
      </c>
      <c r="I389" s="29">
        <v>0.1285</v>
      </c>
      <c r="J389" s="17">
        <v>0</v>
      </c>
    </row>
    <row r="390" spans="1:10" x14ac:dyDescent="0.3">
      <c r="A390" s="19">
        <v>45771.559664351851</v>
      </c>
      <c r="B390" s="43" t="s">
        <v>586</v>
      </c>
      <c r="C390" t="s">
        <v>742</v>
      </c>
      <c r="D390" s="13">
        <v>0</v>
      </c>
      <c r="H390" s="29">
        <v>0.2</v>
      </c>
      <c r="I390" s="29">
        <v>0.1285</v>
      </c>
      <c r="J390" s="17">
        <v>0</v>
      </c>
    </row>
    <row r="391" spans="1:10" x14ac:dyDescent="0.3">
      <c r="A391" s="19">
        <v>45771.559664351851</v>
      </c>
      <c r="B391" s="43" t="s">
        <v>586</v>
      </c>
      <c r="C391" t="s">
        <v>743</v>
      </c>
      <c r="D391" s="13">
        <v>0</v>
      </c>
      <c r="H391" s="29">
        <v>0.2</v>
      </c>
      <c r="I391" s="29">
        <v>0.1285</v>
      </c>
      <c r="J391" s="17">
        <v>0</v>
      </c>
    </row>
    <row r="392" spans="1:10" x14ac:dyDescent="0.3">
      <c r="A392" s="19">
        <v>45771.559664351851</v>
      </c>
      <c r="B392" s="43" t="s">
        <v>586</v>
      </c>
      <c r="C392" t="s">
        <v>744</v>
      </c>
      <c r="D392" s="13">
        <v>0</v>
      </c>
      <c r="H392" s="29">
        <v>0.2</v>
      </c>
      <c r="I392" s="29">
        <v>0.1285</v>
      </c>
      <c r="J392" s="17">
        <v>0</v>
      </c>
    </row>
    <row r="393" spans="1:10" x14ac:dyDescent="0.3">
      <c r="A393" s="19">
        <v>45771.583101851851</v>
      </c>
      <c r="B393" s="43" t="s">
        <v>5</v>
      </c>
      <c r="C393" t="s">
        <v>740</v>
      </c>
      <c r="D393" s="13">
        <v>0</v>
      </c>
      <c r="H393" s="29">
        <v>1</v>
      </c>
      <c r="I393" s="29">
        <v>3.0806E-2</v>
      </c>
      <c r="J393" s="17">
        <v>0</v>
      </c>
    </row>
    <row r="394" spans="1:10" x14ac:dyDescent="0.3">
      <c r="A394" s="19">
        <v>45771.583101851851</v>
      </c>
      <c r="B394" s="43" t="s">
        <v>5</v>
      </c>
      <c r="C394" t="s">
        <v>741</v>
      </c>
      <c r="D394" s="13">
        <v>0</v>
      </c>
      <c r="H394" s="29">
        <v>1</v>
      </c>
      <c r="I394" s="29">
        <v>3.0806E-2</v>
      </c>
      <c r="J394" s="17">
        <v>0</v>
      </c>
    </row>
    <row r="395" spans="1:10" x14ac:dyDescent="0.3">
      <c r="A395" s="19">
        <v>45771.583101851851</v>
      </c>
      <c r="B395" s="43" t="s">
        <v>5</v>
      </c>
      <c r="C395" t="s">
        <v>742</v>
      </c>
      <c r="D395" s="13">
        <v>0</v>
      </c>
      <c r="H395" s="29">
        <v>1</v>
      </c>
      <c r="I395" s="29">
        <v>3.0806E-2</v>
      </c>
      <c r="J395" s="17">
        <v>0</v>
      </c>
    </row>
    <row r="396" spans="1:10" x14ac:dyDescent="0.3">
      <c r="A396" s="19">
        <v>45771.583101851851</v>
      </c>
      <c r="B396" s="43" t="s">
        <v>5</v>
      </c>
      <c r="C396" t="s">
        <v>743</v>
      </c>
      <c r="D396" s="13">
        <v>0</v>
      </c>
      <c r="H396" s="29">
        <v>1</v>
      </c>
      <c r="I396" s="29">
        <v>3.0806E-2</v>
      </c>
      <c r="J396" s="17">
        <v>0</v>
      </c>
    </row>
    <row r="397" spans="1:10" x14ac:dyDescent="0.3">
      <c r="A397" s="19">
        <v>45771.583101851851</v>
      </c>
      <c r="B397" s="43" t="s">
        <v>5</v>
      </c>
      <c r="C397" t="s">
        <v>744</v>
      </c>
      <c r="D397" s="13">
        <v>1060155</v>
      </c>
      <c r="H397" s="29">
        <v>1</v>
      </c>
      <c r="I397" s="29">
        <v>3.0806E-2</v>
      </c>
      <c r="J397" s="17">
        <v>0</v>
      </c>
    </row>
    <row r="398" spans="1:10" x14ac:dyDescent="0.3">
      <c r="A398" s="19">
        <v>45771.583391203705</v>
      </c>
      <c r="B398" s="43" t="s">
        <v>9</v>
      </c>
      <c r="C398" t="s">
        <v>740</v>
      </c>
      <c r="D398" s="13">
        <v>0</v>
      </c>
      <c r="H398" s="29">
        <v>0.6</v>
      </c>
      <c r="I398" s="29">
        <v>0.44791799999999998</v>
      </c>
      <c r="J398" s="17">
        <v>0</v>
      </c>
    </row>
    <row r="399" spans="1:10" x14ac:dyDescent="0.3">
      <c r="A399" s="19">
        <v>45771.583391203705</v>
      </c>
      <c r="B399" s="43" t="s">
        <v>9</v>
      </c>
      <c r="C399" t="s">
        <v>741</v>
      </c>
      <c r="D399" s="13">
        <v>0</v>
      </c>
      <c r="H399" s="29">
        <v>0.6</v>
      </c>
      <c r="I399" s="29">
        <v>0.44791799999999998</v>
      </c>
      <c r="J399" s="17">
        <v>0</v>
      </c>
    </row>
    <row r="400" spans="1:10" x14ac:dyDescent="0.3">
      <c r="A400" s="19">
        <v>45771.583391203705</v>
      </c>
      <c r="B400" s="43" t="s">
        <v>9</v>
      </c>
      <c r="C400" t="s">
        <v>742</v>
      </c>
      <c r="D400" s="13">
        <v>6500</v>
      </c>
      <c r="H400" s="29">
        <v>0.6</v>
      </c>
      <c r="I400" s="29">
        <v>0.44791799999999998</v>
      </c>
      <c r="J400" s="17">
        <v>0</v>
      </c>
    </row>
    <row r="401" spans="1:10" x14ac:dyDescent="0.3">
      <c r="A401" s="19">
        <v>45771.583391203705</v>
      </c>
      <c r="B401" s="43" t="s">
        <v>9</v>
      </c>
      <c r="C401" t="s">
        <v>743</v>
      </c>
      <c r="D401" s="13">
        <v>0</v>
      </c>
      <c r="H401" s="29">
        <v>0.6</v>
      </c>
      <c r="I401" s="29">
        <v>0.44791799999999998</v>
      </c>
      <c r="J401" s="17">
        <v>0</v>
      </c>
    </row>
    <row r="402" spans="1:10" x14ac:dyDescent="0.3">
      <c r="A402" s="19">
        <v>45771.583391203705</v>
      </c>
      <c r="B402" s="43" t="s">
        <v>9</v>
      </c>
      <c r="C402" t="s">
        <v>744</v>
      </c>
      <c r="D402" s="13">
        <v>0</v>
      </c>
      <c r="H402" s="29">
        <v>0.6</v>
      </c>
      <c r="I402" s="29">
        <v>0.44791799999999998</v>
      </c>
      <c r="J402" s="17">
        <v>0</v>
      </c>
    </row>
    <row r="403" spans="1:10" x14ac:dyDescent="0.3">
      <c r="A403" s="19">
        <v>45771.583680555559</v>
      </c>
      <c r="B403" s="43" t="s">
        <v>11</v>
      </c>
      <c r="C403" t="s">
        <v>740</v>
      </c>
      <c r="D403" s="13">
        <v>0</v>
      </c>
      <c r="H403" s="29">
        <v>0.95</v>
      </c>
      <c r="I403" s="29">
        <v>0.92312499999999997</v>
      </c>
      <c r="J403" s="17">
        <v>0</v>
      </c>
    </row>
    <row r="404" spans="1:10" x14ac:dyDescent="0.3">
      <c r="A404" s="19">
        <v>45771.583680555559</v>
      </c>
      <c r="B404" s="43" t="s">
        <v>11</v>
      </c>
      <c r="C404" t="s">
        <v>741</v>
      </c>
      <c r="D404" s="13">
        <v>0</v>
      </c>
      <c r="H404" s="29">
        <v>0.95</v>
      </c>
      <c r="I404" s="29">
        <v>0.92312499999999997</v>
      </c>
      <c r="J404" s="17">
        <v>0</v>
      </c>
    </row>
    <row r="405" spans="1:10" x14ac:dyDescent="0.3">
      <c r="A405" s="19">
        <v>45771.583680555559</v>
      </c>
      <c r="B405" s="43" t="s">
        <v>11</v>
      </c>
      <c r="C405" t="s">
        <v>742</v>
      </c>
      <c r="D405" s="13">
        <v>20000</v>
      </c>
      <c r="H405" s="29">
        <v>0.95</v>
      </c>
      <c r="I405" s="29">
        <v>0.92312499999999997</v>
      </c>
      <c r="J405" s="17">
        <v>0</v>
      </c>
    </row>
    <row r="406" spans="1:10" x14ac:dyDescent="0.3">
      <c r="A406" s="19">
        <v>45771.583680555559</v>
      </c>
      <c r="B406" s="43" t="s">
        <v>11</v>
      </c>
      <c r="C406" t="s">
        <v>743</v>
      </c>
      <c r="D406" s="13">
        <v>0</v>
      </c>
      <c r="H406" s="29">
        <v>0.95</v>
      </c>
      <c r="I406" s="29">
        <v>0.92312499999999997</v>
      </c>
      <c r="J406" s="17">
        <v>0</v>
      </c>
    </row>
    <row r="407" spans="1:10" x14ac:dyDescent="0.3">
      <c r="A407" s="19">
        <v>45771.583680555559</v>
      </c>
      <c r="B407" s="43" t="s">
        <v>11</v>
      </c>
      <c r="C407" t="s">
        <v>744</v>
      </c>
      <c r="D407" s="13">
        <v>0</v>
      </c>
      <c r="H407" s="29">
        <v>0.95</v>
      </c>
      <c r="I407" s="29">
        <v>0.92312499999999997</v>
      </c>
      <c r="J407" s="17">
        <v>0</v>
      </c>
    </row>
    <row r="408" spans="1:10" x14ac:dyDescent="0.3">
      <c r="A408" s="19">
        <v>45771.583912037036</v>
      </c>
      <c r="B408" s="43" t="s">
        <v>13</v>
      </c>
      <c r="C408" t="s">
        <v>740</v>
      </c>
      <c r="D408" s="13">
        <v>0</v>
      </c>
      <c r="H408" s="29">
        <v>0.95</v>
      </c>
      <c r="I408" s="29">
        <v>0.57999699999999998</v>
      </c>
      <c r="J408" s="17">
        <v>0</v>
      </c>
    </row>
    <row r="409" spans="1:10" x14ac:dyDescent="0.3">
      <c r="A409" s="19">
        <v>45771.583912037036</v>
      </c>
      <c r="B409" s="43" t="s">
        <v>13</v>
      </c>
      <c r="C409" t="s">
        <v>741</v>
      </c>
      <c r="D409" s="13">
        <v>0</v>
      </c>
      <c r="H409" s="29">
        <v>0.95</v>
      </c>
      <c r="I409" s="29">
        <v>0.57999699999999998</v>
      </c>
      <c r="J409" s="17">
        <v>0</v>
      </c>
    </row>
    <row r="410" spans="1:10" x14ac:dyDescent="0.3">
      <c r="A410" s="19">
        <v>45771.583912037036</v>
      </c>
      <c r="B410" s="43" t="s">
        <v>13</v>
      </c>
      <c r="C410" t="s">
        <v>742</v>
      </c>
      <c r="D410" s="13">
        <v>3500</v>
      </c>
      <c r="H410" s="29">
        <v>0.95</v>
      </c>
      <c r="I410" s="29">
        <v>0.57999699999999998</v>
      </c>
      <c r="J410" s="17">
        <v>0</v>
      </c>
    </row>
    <row r="411" spans="1:10" x14ac:dyDescent="0.3">
      <c r="A411" s="19">
        <v>45771.583912037036</v>
      </c>
      <c r="B411" s="43" t="s">
        <v>13</v>
      </c>
      <c r="C411" t="s">
        <v>743</v>
      </c>
      <c r="D411" s="13">
        <v>0</v>
      </c>
      <c r="H411" s="29">
        <v>0.95</v>
      </c>
      <c r="I411" s="29">
        <v>0.57999699999999998</v>
      </c>
      <c r="J411" s="17">
        <v>0</v>
      </c>
    </row>
    <row r="412" spans="1:10" x14ac:dyDescent="0.3">
      <c r="A412" s="19">
        <v>45771.583912037036</v>
      </c>
      <c r="B412" s="43" t="s">
        <v>13</v>
      </c>
      <c r="C412" t="s">
        <v>744</v>
      </c>
      <c r="D412" s="13">
        <v>0</v>
      </c>
      <c r="H412" s="29">
        <v>0.95</v>
      </c>
      <c r="I412" s="29">
        <v>0.57999699999999998</v>
      </c>
      <c r="J412" s="17">
        <v>0</v>
      </c>
    </row>
    <row r="413" spans="1:10" x14ac:dyDescent="0.3">
      <c r="A413" s="19">
        <v>45771.584108796298</v>
      </c>
      <c r="B413" s="43" t="s">
        <v>15</v>
      </c>
      <c r="C413" t="s">
        <v>740</v>
      </c>
      <c r="D413" s="13">
        <v>0</v>
      </c>
      <c r="H413" s="29">
        <v>1</v>
      </c>
      <c r="I413" s="29">
        <v>1</v>
      </c>
      <c r="J413" s="17">
        <v>0</v>
      </c>
    </row>
    <row r="414" spans="1:10" x14ac:dyDescent="0.3">
      <c r="A414" s="19">
        <v>45771.584108796298</v>
      </c>
      <c r="B414" s="43" t="s">
        <v>15</v>
      </c>
      <c r="C414" t="s">
        <v>741</v>
      </c>
      <c r="D414" s="13">
        <v>0</v>
      </c>
      <c r="H414" s="29">
        <v>1</v>
      </c>
      <c r="I414" s="29">
        <v>1</v>
      </c>
      <c r="J414" s="17">
        <v>0</v>
      </c>
    </row>
    <row r="415" spans="1:10" x14ac:dyDescent="0.3">
      <c r="A415" s="19">
        <v>45771.584108796298</v>
      </c>
      <c r="B415" s="43" t="s">
        <v>15</v>
      </c>
      <c r="C415" t="s">
        <v>742</v>
      </c>
      <c r="D415" s="13">
        <v>4000</v>
      </c>
      <c r="H415" s="29">
        <v>1</v>
      </c>
      <c r="I415" s="29">
        <v>1</v>
      </c>
      <c r="J415" s="17">
        <v>0</v>
      </c>
    </row>
    <row r="416" spans="1:10" x14ac:dyDescent="0.3">
      <c r="A416" s="19">
        <v>45771.584108796298</v>
      </c>
      <c r="B416" s="43" t="s">
        <v>15</v>
      </c>
      <c r="C416" t="s">
        <v>743</v>
      </c>
      <c r="D416" s="13">
        <v>0</v>
      </c>
      <c r="H416" s="29">
        <v>1</v>
      </c>
      <c r="I416" s="29">
        <v>1</v>
      </c>
      <c r="J416" s="17">
        <v>0</v>
      </c>
    </row>
    <row r="417" spans="1:16" x14ac:dyDescent="0.3">
      <c r="A417" s="19">
        <v>45771.584108796298</v>
      </c>
      <c r="B417" s="43" t="s">
        <v>15</v>
      </c>
      <c r="C417" t="s">
        <v>744</v>
      </c>
      <c r="D417" s="13">
        <v>0</v>
      </c>
      <c r="H417" s="29">
        <v>1</v>
      </c>
      <c r="I417" s="29">
        <v>1</v>
      </c>
      <c r="J417" s="17">
        <v>0</v>
      </c>
    </row>
    <row r="418" spans="1:16" x14ac:dyDescent="0.3">
      <c r="A418" s="19">
        <v>45771.584282407406</v>
      </c>
      <c r="B418" s="43" t="s">
        <v>17</v>
      </c>
      <c r="C418" t="s">
        <v>740</v>
      </c>
      <c r="D418" s="13">
        <v>0</v>
      </c>
      <c r="H418" s="29">
        <v>1</v>
      </c>
      <c r="I418" s="29">
        <v>0.91318100000000002</v>
      </c>
      <c r="J418" s="17">
        <v>0</v>
      </c>
    </row>
    <row r="419" spans="1:16" x14ac:dyDescent="0.3">
      <c r="A419" s="19">
        <v>45771.584282407406</v>
      </c>
      <c r="B419" s="43" t="s">
        <v>17</v>
      </c>
      <c r="C419" t="s">
        <v>741</v>
      </c>
      <c r="D419" s="13">
        <v>0</v>
      </c>
      <c r="H419" s="29">
        <v>1</v>
      </c>
      <c r="I419" s="29">
        <v>0.91318100000000002</v>
      </c>
      <c r="J419" s="17">
        <v>0</v>
      </c>
    </row>
    <row r="420" spans="1:16" x14ac:dyDescent="0.3">
      <c r="A420" s="19">
        <v>45771.584282407406</v>
      </c>
      <c r="B420" s="43" t="s">
        <v>17</v>
      </c>
      <c r="C420" t="s">
        <v>742</v>
      </c>
      <c r="D420" s="13">
        <v>1100</v>
      </c>
      <c r="H420" s="29">
        <v>1</v>
      </c>
      <c r="I420" s="29">
        <v>0.91318100000000002</v>
      </c>
      <c r="J420" s="17">
        <v>0</v>
      </c>
    </row>
    <row r="421" spans="1:16" x14ac:dyDescent="0.3">
      <c r="A421" s="19">
        <v>45771.584282407406</v>
      </c>
      <c r="B421" s="43" t="s">
        <v>17</v>
      </c>
      <c r="C421" t="s">
        <v>743</v>
      </c>
      <c r="D421" s="13">
        <v>0</v>
      </c>
      <c r="H421" s="29">
        <v>1</v>
      </c>
      <c r="I421" s="29">
        <v>0.91318100000000002</v>
      </c>
      <c r="J421" s="17">
        <v>0</v>
      </c>
    </row>
    <row r="422" spans="1:16" x14ac:dyDescent="0.3">
      <c r="A422" s="19">
        <v>45771.584282407406</v>
      </c>
      <c r="B422" s="43" t="s">
        <v>17</v>
      </c>
      <c r="C422" t="s">
        <v>744</v>
      </c>
      <c r="D422" s="13">
        <v>0</v>
      </c>
      <c r="H422" s="29">
        <v>1</v>
      </c>
      <c r="I422" s="29">
        <v>0.91318100000000002</v>
      </c>
      <c r="J422" s="17">
        <v>0</v>
      </c>
    </row>
    <row r="423" spans="1:16" x14ac:dyDescent="0.3">
      <c r="A423" s="19">
        <v>45774.733310185184</v>
      </c>
      <c r="B423" s="43" t="s">
        <v>37</v>
      </c>
      <c r="C423" t="s">
        <v>740</v>
      </c>
      <c r="D423" s="13">
        <v>0</v>
      </c>
      <c r="E423" t="s">
        <v>804</v>
      </c>
      <c r="H423" s="29">
        <v>1</v>
      </c>
      <c r="I423" s="29">
        <v>0.947801</v>
      </c>
      <c r="J423" s="17">
        <v>0</v>
      </c>
    </row>
    <row r="424" spans="1:16" x14ac:dyDescent="0.3">
      <c r="A424" s="19">
        <v>45774.733310185184</v>
      </c>
      <c r="B424" s="43" t="s">
        <v>37</v>
      </c>
      <c r="C424" t="s">
        <v>741</v>
      </c>
      <c r="D424" s="13">
        <v>48771.412417389904</v>
      </c>
      <c r="E424" t="s">
        <v>801</v>
      </c>
      <c r="H424" s="29">
        <v>1</v>
      </c>
      <c r="I424" s="29">
        <v>0.947801</v>
      </c>
      <c r="J424" s="17">
        <v>0</v>
      </c>
    </row>
    <row r="425" spans="1:16" x14ac:dyDescent="0.3">
      <c r="A425" s="19">
        <v>45774.733310185184</v>
      </c>
      <c r="B425" s="43" t="s">
        <v>37</v>
      </c>
      <c r="C425" t="s">
        <v>742</v>
      </c>
      <c r="D425" s="13">
        <v>101228.58844453561</v>
      </c>
      <c r="E425" t="s">
        <v>802</v>
      </c>
      <c r="H425" s="29">
        <v>1</v>
      </c>
      <c r="I425" s="29">
        <v>0.947801</v>
      </c>
      <c r="J425" s="17">
        <v>0</v>
      </c>
    </row>
    <row r="426" spans="1:16" x14ac:dyDescent="0.3">
      <c r="A426" s="19">
        <v>45774.733310185184</v>
      </c>
      <c r="B426" s="43" t="s">
        <v>37</v>
      </c>
      <c r="C426" t="s">
        <v>743</v>
      </c>
      <c r="D426" s="13">
        <v>0</v>
      </c>
      <c r="H426" s="29">
        <v>1</v>
      </c>
      <c r="I426" s="29">
        <v>0.947801</v>
      </c>
      <c r="J426" s="17">
        <v>0</v>
      </c>
    </row>
    <row r="427" spans="1:16" x14ac:dyDescent="0.3">
      <c r="A427" s="19">
        <v>45774.733310185184</v>
      </c>
      <c r="B427" s="43" t="s">
        <v>37</v>
      </c>
      <c r="C427" t="s">
        <v>744</v>
      </c>
      <c r="D427" s="13">
        <v>0</v>
      </c>
      <c r="H427" s="29">
        <v>1</v>
      </c>
      <c r="I427" s="29">
        <v>0.947801</v>
      </c>
      <c r="J427" s="17">
        <v>0</v>
      </c>
    </row>
    <row r="428" spans="1:16" x14ac:dyDescent="0.3">
      <c r="A428" s="19">
        <v>45774.733310185184</v>
      </c>
      <c r="B428" s="43" t="s">
        <v>37</v>
      </c>
      <c r="C428" t="s">
        <v>798</v>
      </c>
      <c r="K428" s="61">
        <v>45771</v>
      </c>
      <c r="L428" t="s">
        <v>803</v>
      </c>
      <c r="M428">
        <v>143909.76000000001</v>
      </c>
      <c r="N428">
        <v>7397.6691379999975</v>
      </c>
      <c r="O428">
        <v>1000</v>
      </c>
      <c r="P428">
        <v>8397.6691379999975</v>
      </c>
    </row>
    <row r="429" spans="1:16" x14ac:dyDescent="0.3">
      <c r="A429" s="19">
        <v>45774.733310185184</v>
      </c>
      <c r="B429" s="43" t="s">
        <v>37</v>
      </c>
      <c r="C429" t="s">
        <v>798</v>
      </c>
      <c r="K429" t="s">
        <v>805</v>
      </c>
      <c r="L429">
        <v>13487.910000000003</v>
      </c>
    </row>
    <row r="430" spans="1:16" x14ac:dyDescent="0.3">
      <c r="A430" s="19">
        <v>45774.738495370373</v>
      </c>
      <c r="B430" s="43" t="s">
        <v>37</v>
      </c>
      <c r="C430" t="s">
        <v>740</v>
      </c>
      <c r="D430" s="13">
        <v>0</v>
      </c>
      <c r="E430" t="s">
        <v>804</v>
      </c>
      <c r="H430" s="29">
        <v>1</v>
      </c>
      <c r="I430" s="29">
        <v>0.947801</v>
      </c>
      <c r="J430" s="17">
        <v>0</v>
      </c>
    </row>
    <row r="431" spans="1:16" x14ac:dyDescent="0.3">
      <c r="A431" s="19">
        <v>45774.738495370373</v>
      </c>
      <c r="B431" s="43" t="s">
        <v>37</v>
      </c>
      <c r="C431" t="s">
        <v>741</v>
      </c>
      <c r="D431" s="13">
        <v>48771.412417389904</v>
      </c>
      <c r="E431" t="s">
        <v>801</v>
      </c>
      <c r="H431" s="29">
        <v>1</v>
      </c>
      <c r="I431" s="29">
        <v>0.947801</v>
      </c>
      <c r="J431" s="17">
        <v>0</v>
      </c>
    </row>
    <row r="432" spans="1:16" x14ac:dyDescent="0.3">
      <c r="A432" s="19">
        <v>45774.738495370373</v>
      </c>
      <c r="B432" s="43" t="s">
        <v>37</v>
      </c>
      <c r="C432" t="s">
        <v>742</v>
      </c>
      <c r="D432" s="13">
        <v>101228.58844453561</v>
      </c>
      <c r="E432" t="s">
        <v>802</v>
      </c>
      <c r="H432" s="29">
        <v>1</v>
      </c>
      <c r="I432" s="29">
        <v>0.947801</v>
      </c>
      <c r="J432" s="17">
        <v>0</v>
      </c>
    </row>
    <row r="433" spans="1:16" x14ac:dyDescent="0.3">
      <c r="A433" s="19">
        <v>45774.738495370373</v>
      </c>
      <c r="B433" s="43" t="s">
        <v>37</v>
      </c>
      <c r="C433" t="s">
        <v>743</v>
      </c>
      <c r="D433" s="13">
        <v>0</v>
      </c>
      <c r="H433" s="29">
        <v>1</v>
      </c>
      <c r="I433" s="29">
        <v>0.947801</v>
      </c>
      <c r="J433" s="17">
        <v>0</v>
      </c>
    </row>
    <row r="434" spans="1:16" x14ac:dyDescent="0.3">
      <c r="A434" s="19">
        <v>45774.738495370373</v>
      </c>
      <c r="B434" s="43" t="s">
        <v>37</v>
      </c>
      <c r="C434" t="s">
        <v>744</v>
      </c>
      <c r="D434" s="13">
        <v>0</v>
      </c>
      <c r="H434" s="29">
        <v>1</v>
      </c>
      <c r="I434" s="29">
        <v>0.947801</v>
      </c>
      <c r="J434" s="17">
        <v>0</v>
      </c>
    </row>
    <row r="435" spans="1:16" x14ac:dyDescent="0.3">
      <c r="A435" s="19">
        <v>45774.738495370373</v>
      </c>
      <c r="B435" s="43" t="s">
        <v>37</v>
      </c>
      <c r="C435" t="s">
        <v>798</v>
      </c>
      <c r="K435" s="61">
        <v>45771</v>
      </c>
      <c r="L435" t="s">
        <v>803</v>
      </c>
      <c r="M435">
        <v>143909.76000000001</v>
      </c>
      <c r="N435">
        <v>7397.6691379999975</v>
      </c>
      <c r="O435">
        <v>1000</v>
      </c>
      <c r="P435">
        <v>8397.6691379999975</v>
      </c>
    </row>
    <row r="436" spans="1:16" x14ac:dyDescent="0.3">
      <c r="A436" s="19">
        <v>45774.738495370373</v>
      </c>
      <c r="B436" s="43" t="s">
        <v>37</v>
      </c>
      <c r="C436" t="s">
        <v>798</v>
      </c>
      <c r="K436" t="s">
        <v>805</v>
      </c>
      <c r="L436">
        <v>13487.910000000003</v>
      </c>
    </row>
    <row r="437" spans="1:16" x14ac:dyDescent="0.3">
      <c r="A437" s="19">
        <v>45774.751284722224</v>
      </c>
      <c r="B437" s="43" t="s">
        <v>5</v>
      </c>
      <c r="C437" t="s">
        <v>740</v>
      </c>
      <c r="D437" s="13">
        <v>0</v>
      </c>
      <c r="H437" s="29">
        <v>0</v>
      </c>
      <c r="I437" s="29">
        <v>3.0806E-2</v>
      </c>
      <c r="J437" s="17">
        <v>32.460398745252213</v>
      </c>
    </row>
    <row r="438" spans="1:16" x14ac:dyDescent="0.3">
      <c r="A438" s="19">
        <v>45774.751284722224</v>
      </c>
      <c r="B438" s="43" t="s">
        <v>5</v>
      </c>
      <c r="C438" t="s">
        <v>741</v>
      </c>
      <c r="D438" s="13">
        <v>0</v>
      </c>
      <c r="H438" s="29">
        <v>0</v>
      </c>
      <c r="I438" s="29">
        <v>3.0806E-2</v>
      </c>
      <c r="J438" s="17">
        <v>32.460398745252213</v>
      </c>
    </row>
    <row r="439" spans="1:16" x14ac:dyDescent="0.3">
      <c r="A439" s="19">
        <v>45774.751284722224</v>
      </c>
      <c r="B439" s="43" t="s">
        <v>5</v>
      </c>
      <c r="C439" t="s">
        <v>742</v>
      </c>
      <c r="D439" s="13">
        <v>0</v>
      </c>
      <c r="H439" s="29">
        <v>0</v>
      </c>
      <c r="I439" s="29">
        <v>3.0806E-2</v>
      </c>
      <c r="J439" s="17">
        <v>32.460398745252213</v>
      </c>
    </row>
    <row r="440" spans="1:16" x14ac:dyDescent="0.3">
      <c r="A440" s="19">
        <v>45774.751284722224</v>
      </c>
      <c r="B440" s="43" t="s">
        <v>5</v>
      </c>
      <c r="C440" t="s">
        <v>743</v>
      </c>
      <c r="D440" s="13">
        <v>0</v>
      </c>
      <c r="H440" s="29">
        <v>0</v>
      </c>
      <c r="I440" s="29">
        <v>3.0806E-2</v>
      </c>
      <c r="J440" s="17">
        <v>32.460398745252213</v>
      </c>
    </row>
    <row r="441" spans="1:16" x14ac:dyDescent="0.3">
      <c r="A441" s="19">
        <v>45774.751284722224</v>
      </c>
      <c r="B441" s="43" t="s">
        <v>5</v>
      </c>
      <c r="C441" t="s">
        <v>744</v>
      </c>
      <c r="D441" s="13">
        <v>1060155</v>
      </c>
      <c r="H441" s="29">
        <v>0</v>
      </c>
      <c r="I441" s="29">
        <v>3.0806E-2</v>
      </c>
      <c r="J441" s="17">
        <v>32.460398745252213</v>
      </c>
    </row>
    <row r="442" spans="1:16" x14ac:dyDescent="0.3">
      <c r="A442" s="19">
        <v>45774.751284722224</v>
      </c>
      <c r="B442" s="43" t="s">
        <v>5</v>
      </c>
      <c r="C442" t="s">
        <v>798</v>
      </c>
      <c r="K442" t="s">
        <v>863</v>
      </c>
      <c r="L442" t="s">
        <v>864</v>
      </c>
      <c r="M442" t="s">
        <v>865</v>
      </c>
      <c r="N442" t="s">
        <v>865</v>
      </c>
      <c r="O442" t="s">
        <v>865</v>
      </c>
      <c r="P442" t="s">
        <v>865</v>
      </c>
    </row>
    <row r="443" spans="1:16" x14ac:dyDescent="0.3">
      <c r="A443" s="19">
        <v>45774.754594907405</v>
      </c>
      <c r="B443" s="43" t="s">
        <v>11</v>
      </c>
      <c r="C443" t="s">
        <v>740</v>
      </c>
      <c r="D443" s="13">
        <v>0</v>
      </c>
      <c r="H443" s="29">
        <v>0</v>
      </c>
      <c r="I443" s="29">
        <v>0.92312499999999997</v>
      </c>
      <c r="J443" s="17">
        <v>1.0291130670277591</v>
      </c>
    </row>
    <row r="444" spans="1:16" x14ac:dyDescent="0.3">
      <c r="A444" s="19">
        <v>45774.754594907405</v>
      </c>
      <c r="B444" s="43" t="s">
        <v>11</v>
      </c>
      <c r="C444" t="s">
        <v>741</v>
      </c>
      <c r="D444" s="13">
        <v>0</v>
      </c>
      <c r="H444" s="29">
        <v>0</v>
      </c>
      <c r="I444" s="29">
        <v>0.92312499999999997</v>
      </c>
      <c r="J444" s="17">
        <v>1.0291130670277591</v>
      </c>
    </row>
    <row r="445" spans="1:16" x14ac:dyDescent="0.3">
      <c r="A445" s="19">
        <v>45774.754594907405</v>
      </c>
      <c r="B445" s="43" t="s">
        <v>11</v>
      </c>
      <c r="C445" t="s">
        <v>742</v>
      </c>
      <c r="D445" s="13">
        <v>20000</v>
      </c>
      <c r="H445" s="29">
        <v>0</v>
      </c>
      <c r="I445" s="29">
        <v>0.92312499999999997</v>
      </c>
      <c r="J445" s="17">
        <v>1.0291130670277591</v>
      </c>
    </row>
    <row r="446" spans="1:16" x14ac:dyDescent="0.3">
      <c r="A446" s="19">
        <v>45774.754594907405</v>
      </c>
      <c r="B446" s="43" t="s">
        <v>11</v>
      </c>
      <c r="C446" t="s">
        <v>743</v>
      </c>
      <c r="D446" s="13">
        <v>0</v>
      </c>
      <c r="H446" s="29">
        <v>0</v>
      </c>
      <c r="I446" s="29">
        <v>0.92312499999999997</v>
      </c>
      <c r="J446" s="17">
        <v>1.0291130670277591</v>
      </c>
    </row>
    <row r="447" spans="1:16" x14ac:dyDescent="0.3">
      <c r="A447" s="19">
        <v>45774.754594907405</v>
      </c>
      <c r="B447" s="43" t="s">
        <v>11</v>
      </c>
      <c r="C447" t="s">
        <v>744</v>
      </c>
      <c r="D447" s="13">
        <v>0</v>
      </c>
      <c r="H447" s="29">
        <v>0</v>
      </c>
      <c r="I447" s="29">
        <v>0.92312499999999997</v>
      </c>
      <c r="J447" s="17">
        <v>1.0291130670277591</v>
      </c>
    </row>
    <row r="448" spans="1:16" x14ac:dyDescent="0.3">
      <c r="A448" s="19">
        <v>45774.754594907405</v>
      </c>
      <c r="B448" s="43" t="s">
        <v>11</v>
      </c>
      <c r="C448" t="s">
        <v>798</v>
      </c>
      <c r="N448" t="s">
        <v>866</v>
      </c>
      <c r="O448" t="s">
        <v>866</v>
      </c>
    </row>
    <row r="449" spans="1:13" x14ac:dyDescent="0.3">
      <c r="A449" s="19">
        <v>45774.754594907405</v>
      </c>
      <c r="B449" s="43" t="s">
        <v>11</v>
      </c>
      <c r="C449" t="s">
        <v>798</v>
      </c>
      <c r="M449" t="s">
        <v>867</v>
      </c>
    </row>
    <row r="450" spans="1:13" x14ac:dyDescent="0.3">
      <c r="A450" s="19">
        <v>45774.754594907405</v>
      </c>
      <c r="B450" s="43" t="s">
        <v>11</v>
      </c>
      <c r="C450" t="s">
        <v>798</v>
      </c>
      <c r="K450" t="s">
        <v>866</v>
      </c>
    </row>
    <row r="451" spans="1:13" x14ac:dyDescent="0.3">
      <c r="A451" s="19">
        <v>45774.777395833335</v>
      </c>
      <c r="B451" s="43" t="s">
        <v>17</v>
      </c>
      <c r="C451" t="s">
        <v>740</v>
      </c>
      <c r="D451" s="13">
        <v>0</v>
      </c>
      <c r="H451" s="29">
        <v>1</v>
      </c>
      <c r="I451" s="29">
        <v>0.91318100000000002</v>
      </c>
      <c r="J451" s="17">
        <v>1.095072175211548</v>
      </c>
    </row>
    <row r="452" spans="1:13" x14ac:dyDescent="0.3">
      <c r="A452" s="19">
        <v>45774.777395833335</v>
      </c>
      <c r="B452" s="43" t="s">
        <v>17</v>
      </c>
      <c r="C452" t="s">
        <v>741</v>
      </c>
      <c r="D452" s="13">
        <v>0</v>
      </c>
      <c r="H452" s="29">
        <v>1</v>
      </c>
      <c r="I452" s="29">
        <v>0.91318100000000002</v>
      </c>
      <c r="J452" s="17">
        <v>1.095072175211548</v>
      </c>
    </row>
    <row r="453" spans="1:13" x14ac:dyDescent="0.3">
      <c r="A453" s="19">
        <v>45774.777395833335</v>
      </c>
      <c r="B453" s="43" t="s">
        <v>17</v>
      </c>
      <c r="C453" t="s">
        <v>742</v>
      </c>
      <c r="D453" s="13">
        <v>1100</v>
      </c>
      <c r="H453" s="29">
        <v>1</v>
      </c>
      <c r="I453" s="29">
        <v>0.91318100000000002</v>
      </c>
      <c r="J453" s="17">
        <v>1.095072175211548</v>
      </c>
    </row>
    <row r="454" spans="1:13" x14ac:dyDescent="0.3">
      <c r="A454" s="19">
        <v>45774.777395833335</v>
      </c>
      <c r="B454" s="43" t="s">
        <v>17</v>
      </c>
      <c r="C454" t="s">
        <v>743</v>
      </c>
      <c r="D454" s="13">
        <v>0</v>
      </c>
      <c r="H454" s="29">
        <v>1</v>
      </c>
      <c r="I454" s="29">
        <v>0.91318100000000002</v>
      </c>
      <c r="J454" s="17">
        <v>1.095072175211548</v>
      </c>
    </row>
    <row r="455" spans="1:13" x14ac:dyDescent="0.3">
      <c r="A455" s="19">
        <v>45774.777395833335</v>
      </c>
      <c r="B455" s="43" t="s">
        <v>17</v>
      </c>
      <c r="C455" t="s">
        <v>744</v>
      </c>
      <c r="D455" s="13">
        <v>0</v>
      </c>
      <c r="H455" s="29">
        <v>1</v>
      </c>
      <c r="I455" s="29">
        <v>0.91318100000000002</v>
      </c>
      <c r="J455" s="17">
        <v>1.095072175211548</v>
      </c>
    </row>
    <row r="456" spans="1:13" x14ac:dyDescent="0.3">
      <c r="A456" s="19">
        <v>45774.780370370368</v>
      </c>
      <c r="B456" s="43" t="s">
        <v>17</v>
      </c>
      <c r="C456" t="s">
        <v>740</v>
      </c>
      <c r="D456" s="13">
        <v>0</v>
      </c>
      <c r="E456" t="s">
        <v>868</v>
      </c>
      <c r="H456" s="29">
        <v>1</v>
      </c>
      <c r="I456" s="29">
        <v>0.91318100000000002</v>
      </c>
      <c r="J456" s="17">
        <v>1.095072175211548</v>
      </c>
    </row>
    <row r="457" spans="1:13" ht="43.2" x14ac:dyDescent="0.3">
      <c r="A457" s="19">
        <v>45774.780370370368</v>
      </c>
      <c r="B457" s="43" t="s">
        <v>17</v>
      </c>
      <c r="C457" t="s">
        <v>741</v>
      </c>
      <c r="D457" s="13">
        <v>0</v>
      </c>
      <c r="E457" s="65" t="s">
        <v>869</v>
      </c>
      <c r="F457" t="s">
        <v>870</v>
      </c>
      <c r="H457" s="29">
        <v>1</v>
      </c>
      <c r="I457" s="29">
        <v>0.91318100000000002</v>
      </c>
      <c r="J457" s="17">
        <v>1.095072175211548</v>
      </c>
    </row>
    <row r="458" spans="1:13" x14ac:dyDescent="0.3">
      <c r="A458" s="19">
        <v>45774.780370370368</v>
      </c>
      <c r="B458" s="43" t="s">
        <v>17</v>
      </c>
      <c r="C458" t="s">
        <v>742</v>
      </c>
      <c r="D458" s="13">
        <v>1100</v>
      </c>
      <c r="H458" s="29">
        <v>1</v>
      </c>
      <c r="I458" s="29">
        <v>0.91318100000000002</v>
      </c>
      <c r="J458" s="17">
        <v>1.095072175211548</v>
      </c>
    </row>
    <row r="459" spans="1:13" x14ac:dyDescent="0.3">
      <c r="A459" s="19">
        <v>45774.780370370368</v>
      </c>
      <c r="B459" s="43" t="s">
        <v>17</v>
      </c>
      <c r="C459" t="s">
        <v>743</v>
      </c>
      <c r="D459" s="13">
        <v>0</v>
      </c>
      <c r="H459" s="29">
        <v>1</v>
      </c>
      <c r="I459" s="29">
        <v>0.91318100000000002</v>
      </c>
      <c r="J459" s="17">
        <v>1.095072175211548</v>
      </c>
    </row>
    <row r="460" spans="1:13" x14ac:dyDescent="0.3">
      <c r="A460" s="19">
        <v>45774.780370370368</v>
      </c>
      <c r="B460" s="43" t="s">
        <v>17</v>
      </c>
      <c r="C460" t="s">
        <v>744</v>
      </c>
      <c r="D460" s="13">
        <v>0</v>
      </c>
      <c r="H460" s="29">
        <v>1</v>
      </c>
      <c r="I460" s="29">
        <v>0.91318100000000002</v>
      </c>
      <c r="J460" s="17">
        <v>1.095072175211548</v>
      </c>
    </row>
    <row r="461" spans="1:13" x14ac:dyDescent="0.3">
      <c r="A461" s="19">
        <v>45774.780821759261</v>
      </c>
      <c r="B461" s="43" t="s">
        <v>17</v>
      </c>
      <c r="C461" t="s">
        <v>740</v>
      </c>
      <c r="D461" s="13">
        <v>0</v>
      </c>
      <c r="E461" t="s">
        <v>868</v>
      </c>
      <c r="H461" s="29">
        <v>1</v>
      </c>
      <c r="I461" s="29">
        <v>0.91318100000000002</v>
      </c>
      <c r="J461" s="17">
        <v>1.095072175211548</v>
      </c>
    </row>
    <row r="462" spans="1:13" ht="43.2" x14ac:dyDescent="0.3">
      <c r="A462" s="19">
        <v>45774.780821759261</v>
      </c>
      <c r="B462" s="43" t="s">
        <v>17</v>
      </c>
      <c r="C462" t="s">
        <v>741</v>
      </c>
      <c r="D462" s="13">
        <v>0</v>
      </c>
      <c r="E462" s="65" t="s">
        <v>869</v>
      </c>
      <c r="F462" t="s">
        <v>870</v>
      </c>
      <c r="H462" s="29">
        <v>1</v>
      </c>
      <c r="I462" s="29">
        <v>0.91318100000000002</v>
      </c>
      <c r="J462" s="17">
        <v>1.095072175211548</v>
      </c>
    </row>
    <row r="463" spans="1:13" ht="72" x14ac:dyDescent="0.3">
      <c r="A463" s="19">
        <v>45774.780821759261</v>
      </c>
      <c r="B463" s="43" t="s">
        <v>17</v>
      </c>
      <c r="C463" t="s">
        <v>742</v>
      </c>
      <c r="D463" s="13">
        <v>1100</v>
      </c>
      <c r="E463" s="65" t="s">
        <v>871</v>
      </c>
      <c r="H463" s="29">
        <v>1</v>
      </c>
      <c r="I463" s="29">
        <v>0.91318100000000002</v>
      </c>
      <c r="J463" s="17">
        <v>1.095072175211548</v>
      </c>
    </row>
    <row r="464" spans="1:13" x14ac:dyDescent="0.3">
      <c r="A464" s="19">
        <v>45774.780821759261</v>
      </c>
      <c r="B464" s="43" t="s">
        <v>17</v>
      </c>
      <c r="C464" t="s">
        <v>743</v>
      </c>
      <c r="D464" s="13">
        <v>0</v>
      </c>
      <c r="H464" s="29">
        <v>1</v>
      </c>
      <c r="I464" s="29">
        <v>0.91318100000000002</v>
      </c>
      <c r="J464" s="17">
        <v>1.095072175211548</v>
      </c>
    </row>
    <row r="465" spans="1:10" x14ac:dyDescent="0.3">
      <c r="A465" s="19">
        <v>45774.780821759261</v>
      </c>
      <c r="B465" s="43" t="s">
        <v>17</v>
      </c>
      <c r="C465" t="s">
        <v>744</v>
      </c>
      <c r="D465" s="13">
        <v>0</v>
      </c>
      <c r="H465" s="29">
        <v>1</v>
      </c>
      <c r="I465" s="29">
        <v>0.91318100000000002</v>
      </c>
      <c r="J465" s="17">
        <v>1.095072175211548</v>
      </c>
    </row>
  </sheetData>
  <autoFilter ref="A1:Q1" xr:uid="{05161244-60DB-4BA3-ADDB-9A7B640B9AB0}"/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ul2"/>
  <dimension ref="A1:AC492"/>
  <sheetViews>
    <sheetView showGridLines="0" zoomScale="80" zoomScaleNormal="80" workbookViewId="0">
      <pane xSplit="2" ySplit="1" topLeftCell="C38" activePane="bottomRight" state="frozen"/>
      <selection pane="topRight" activeCell="C1" sqref="C1"/>
      <selection pane="bottomLeft" activeCell="A2" sqref="A2"/>
      <selection pane="bottomRight" activeCell="H10" sqref="H10"/>
    </sheetView>
  </sheetViews>
  <sheetFormatPr defaultRowHeight="14.4" x14ac:dyDescent="0.3"/>
  <cols>
    <col min="1" max="1" width="12" style="11" customWidth="1"/>
    <col min="2" max="2" width="64.77734375" style="6" customWidth="1"/>
    <col min="3" max="5" width="12" style="6" customWidth="1"/>
    <col min="6" max="6" width="16.6640625" style="6" bestFit="1" customWidth="1"/>
    <col min="7" max="7" width="13.77734375" style="6" bestFit="1" customWidth="1"/>
    <col min="8" max="8" width="16.6640625" style="6" bestFit="1" customWidth="1"/>
    <col min="9" max="22" width="12" style="6" customWidth="1"/>
    <col min="23" max="24" width="8.88671875" style="6"/>
    <col min="25" max="25" width="29.109375" style="6" customWidth="1"/>
    <col min="26" max="26" width="23.109375" style="6" customWidth="1"/>
    <col min="27" max="28" width="8.88671875" style="10"/>
    <col min="29" max="29" width="12.5546875" style="6" bestFit="1" customWidth="1"/>
    <col min="30" max="16384" width="8.88671875" style="6"/>
  </cols>
  <sheetData>
    <row r="1" spans="1:29" s="28" customFormat="1" ht="19.8" customHeight="1" x14ac:dyDescent="0.3">
      <c r="A1" s="20" t="s">
        <v>588</v>
      </c>
      <c r="B1" s="20" t="s">
        <v>1</v>
      </c>
      <c r="C1" s="20" t="s">
        <v>2</v>
      </c>
      <c r="D1" s="20" t="s">
        <v>591</v>
      </c>
      <c r="E1" s="20" t="s">
        <v>3</v>
      </c>
      <c r="F1" s="20" t="s">
        <v>589</v>
      </c>
      <c r="G1" s="20" t="s">
        <v>606</v>
      </c>
      <c r="H1" s="20" t="s">
        <v>590</v>
      </c>
      <c r="I1" s="21" t="s">
        <v>592</v>
      </c>
      <c r="J1" s="22" t="s">
        <v>593</v>
      </c>
      <c r="K1" s="22" t="s">
        <v>590</v>
      </c>
      <c r="L1" s="23" t="s">
        <v>594</v>
      </c>
      <c r="M1" s="24" t="s">
        <v>595</v>
      </c>
      <c r="N1" s="24" t="s">
        <v>590</v>
      </c>
      <c r="O1" s="22" t="s">
        <v>596</v>
      </c>
      <c r="P1" s="22" t="s">
        <v>597</v>
      </c>
      <c r="Q1" s="22" t="s">
        <v>590</v>
      </c>
      <c r="R1" s="25" t="s">
        <v>607</v>
      </c>
      <c r="S1" s="25" t="s">
        <v>608</v>
      </c>
      <c r="T1" s="25" t="s">
        <v>590</v>
      </c>
      <c r="U1" s="20" t="s">
        <v>598</v>
      </c>
      <c r="V1" s="20" t="s">
        <v>599</v>
      </c>
      <c r="W1" s="20" t="s">
        <v>590</v>
      </c>
      <c r="X1" s="20" t="s">
        <v>600</v>
      </c>
      <c r="Y1" s="20" t="s">
        <v>601</v>
      </c>
      <c r="Z1" s="20" t="s">
        <v>602</v>
      </c>
      <c r="AA1" s="26" t="s">
        <v>603</v>
      </c>
      <c r="AB1" s="26" t="s">
        <v>604</v>
      </c>
      <c r="AC1" s="27" t="s">
        <v>605</v>
      </c>
    </row>
    <row r="2" spans="1:29" x14ac:dyDescent="0.3">
      <c r="A2" s="11" t="s">
        <v>5</v>
      </c>
      <c r="B2" s="6" t="s">
        <v>6</v>
      </c>
      <c r="C2" s="7">
        <v>1</v>
      </c>
      <c r="D2" s="6" t="s">
        <v>4</v>
      </c>
      <c r="E2" s="8">
        <v>19555</v>
      </c>
      <c r="F2" s="8">
        <v>19555</v>
      </c>
      <c r="G2" s="6" t="s">
        <v>0</v>
      </c>
      <c r="H2" s="9">
        <f>IF(AND(K2="",N2="",Q2="", T2="", W2=""), F2,K2+ N2+Q2+T2+W2)</f>
        <v>19555</v>
      </c>
      <c r="I2" s="6" t="s">
        <v>0</v>
      </c>
      <c r="J2" s="6" t="s">
        <v>0</v>
      </c>
      <c r="L2" s="6" t="s">
        <v>0</v>
      </c>
      <c r="M2" s="6" t="s">
        <v>0</v>
      </c>
      <c r="O2" s="6" t="s">
        <v>0</v>
      </c>
      <c r="P2" s="6" t="s">
        <v>0</v>
      </c>
      <c r="R2" s="6" t="s">
        <v>0</v>
      </c>
      <c r="S2" s="6" t="s">
        <v>0</v>
      </c>
      <c r="U2" s="8">
        <v>19555</v>
      </c>
      <c r="V2" s="8">
        <v>19555</v>
      </c>
    </row>
    <row r="3" spans="1:29" x14ac:dyDescent="0.3">
      <c r="A3" s="11" t="s">
        <v>5</v>
      </c>
      <c r="B3" s="6" t="s">
        <v>7</v>
      </c>
      <c r="C3" s="7">
        <v>1</v>
      </c>
      <c r="D3" s="6" t="s">
        <v>4</v>
      </c>
      <c r="E3" s="8">
        <v>940600</v>
      </c>
      <c r="F3" s="8">
        <v>940600</v>
      </c>
      <c r="G3" s="6" t="s">
        <v>0</v>
      </c>
      <c r="H3" s="9">
        <f t="shared" ref="H3:H67" si="0">IF(AND(K3="",N3="",Q3="", T3="", W3=""), F3,K3+ N3+Q3+T3+W3)</f>
        <v>940600</v>
      </c>
      <c r="I3" s="6" t="s">
        <v>0</v>
      </c>
      <c r="J3" s="6" t="s">
        <v>0</v>
      </c>
      <c r="L3" s="6" t="s">
        <v>0</v>
      </c>
      <c r="M3" s="6" t="s">
        <v>0</v>
      </c>
      <c r="O3" s="6" t="s">
        <v>0</v>
      </c>
      <c r="P3" s="6" t="s">
        <v>0</v>
      </c>
      <c r="R3" s="6" t="s">
        <v>0</v>
      </c>
      <c r="S3" s="6" t="s">
        <v>0</v>
      </c>
      <c r="U3" s="8">
        <v>940600</v>
      </c>
      <c r="V3" s="8">
        <v>940600</v>
      </c>
    </row>
    <row r="4" spans="1:29" x14ac:dyDescent="0.3">
      <c r="A4" s="11" t="s">
        <v>5</v>
      </c>
      <c r="B4" s="6" t="s">
        <v>8</v>
      </c>
      <c r="C4" s="7">
        <v>1</v>
      </c>
      <c r="D4" s="6" t="s">
        <v>4</v>
      </c>
      <c r="E4" s="8">
        <v>100000</v>
      </c>
      <c r="F4" s="8">
        <v>100000</v>
      </c>
      <c r="G4" s="6" t="s">
        <v>0</v>
      </c>
      <c r="H4" s="9">
        <f t="shared" si="0"/>
        <v>100000</v>
      </c>
      <c r="I4" s="6" t="s">
        <v>0</v>
      </c>
      <c r="J4" s="6" t="s">
        <v>0</v>
      </c>
      <c r="L4" s="6" t="s">
        <v>0</v>
      </c>
      <c r="M4" s="6" t="s">
        <v>0</v>
      </c>
      <c r="O4" s="6" t="s">
        <v>0</v>
      </c>
      <c r="P4" s="6" t="s">
        <v>0</v>
      </c>
      <c r="R4" s="6" t="s">
        <v>0</v>
      </c>
      <c r="S4" s="6" t="s">
        <v>0</v>
      </c>
      <c r="U4" s="8">
        <v>100000</v>
      </c>
      <c r="V4" s="8">
        <v>100000</v>
      </c>
    </row>
    <row r="5" spans="1:29" x14ac:dyDescent="0.3">
      <c r="A5" s="11" t="s">
        <v>9</v>
      </c>
      <c r="B5" s="6" t="s">
        <v>10</v>
      </c>
      <c r="C5" s="7">
        <v>1</v>
      </c>
      <c r="D5" s="6" t="s">
        <v>4</v>
      </c>
      <c r="E5" s="8">
        <v>6500</v>
      </c>
      <c r="F5" s="8">
        <v>6500</v>
      </c>
      <c r="G5" s="6" t="s">
        <v>0</v>
      </c>
      <c r="H5" s="9">
        <f t="shared" si="0"/>
        <v>6500</v>
      </c>
      <c r="I5" s="6" t="s">
        <v>0</v>
      </c>
      <c r="J5" s="6" t="s">
        <v>0</v>
      </c>
      <c r="L5" s="6" t="s">
        <v>0</v>
      </c>
      <c r="M5" s="6" t="s">
        <v>0</v>
      </c>
      <c r="O5" s="8">
        <v>6500</v>
      </c>
      <c r="P5" s="8">
        <v>6500</v>
      </c>
      <c r="Q5" s="8"/>
      <c r="R5" s="6" t="s">
        <v>0</v>
      </c>
      <c r="S5" s="6" t="s">
        <v>0</v>
      </c>
      <c r="U5" s="6" t="s">
        <v>0</v>
      </c>
      <c r="V5" s="6" t="s">
        <v>0</v>
      </c>
    </row>
    <row r="6" spans="1:29" x14ac:dyDescent="0.3">
      <c r="A6" s="11" t="s">
        <v>11</v>
      </c>
      <c r="B6" s="6" t="s">
        <v>12</v>
      </c>
      <c r="C6" s="7">
        <v>1</v>
      </c>
      <c r="D6" s="6" t="s">
        <v>4</v>
      </c>
      <c r="E6" s="8">
        <v>20000</v>
      </c>
      <c r="F6" s="8">
        <v>20000</v>
      </c>
      <c r="G6" s="6" t="s">
        <v>0</v>
      </c>
      <c r="H6" s="9">
        <f t="shared" si="0"/>
        <v>20000</v>
      </c>
      <c r="I6" s="6" t="s">
        <v>0</v>
      </c>
      <c r="J6" s="6" t="s">
        <v>0</v>
      </c>
      <c r="L6" s="6" t="s">
        <v>0</v>
      </c>
      <c r="M6" s="6" t="s">
        <v>0</v>
      </c>
      <c r="O6" s="8">
        <v>20000</v>
      </c>
      <c r="P6" s="8">
        <v>20000</v>
      </c>
      <c r="Q6" s="8"/>
      <c r="R6" s="6" t="s">
        <v>0</v>
      </c>
      <c r="S6" s="6" t="s">
        <v>0</v>
      </c>
      <c r="U6" s="6" t="s">
        <v>0</v>
      </c>
      <c r="V6" s="6" t="s">
        <v>0</v>
      </c>
    </row>
    <row r="7" spans="1:29" x14ac:dyDescent="0.3">
      <c r="A7" s="11" t="s">
        <v>13</v>
      </c>
      <c r="B7" s="6" t="s">
        <v>14</v>
      </c>
      <c r="C7" s="7">
        <v>1</v>
      </c>
      <c r="D7" s="6" t="s">
        <v>4</v>
      </c>
      <c r="E7" s="8">
        <v>3500</v>
      </c>
      <c r="F7" s="8">
        <v>3500</v>
      </c>
      <c r="G7" s="6" t="s">
        <v>0</v>
      </c>
      <c r="H7" s="9">
        <f t="shared" si="0"/>
        <v>3500</v>
      </c>
      <c r="I7" s="6" t="s">
        <v>0</v>
      </c>
      <c r="J7" s="6" t="s">
        <v>0</v>
      </c>
      <c r="L7" s="6" t="s">
        <v>0</v>
      </c>
      <c r="M7" s="6" t="s">
        <v>0</v>
      </c>
      <c r="O7" s="8">
        <v>3500</v>
      </c>
      <c r="P7" s="8">
        <v>3500</v>
      </c>
      <c r="Q7" s="8"/>
      <c r="R7" s="6" t="s">
        <v>0</v>
      </c>
      <c r="S7" s="6" t="s">
        <v>0</v>
      </c>
      <c r="U7" s="6" t="s">
        <v>0</v>
      </c>
      <c r="V7" s="6" t="s">
        <v>0</v>
      </c>
    </row>
    <row r="8" spans="1:29" x14ac:dyDescent="0.3">
      <c r="A8" s="11" t="s">
        <v>15</v>
      </c>
      <c r="B8" s="6" t="s">
        <v>16</v>
      </c>
      <c r="C8" s="7">
        <v>1</v>
      </c>
      <c r="D8" s="6" t="s">
        <v>4</v>
      </c>
      <c r="E8" s="8">
        <v>4000</v>
      </c>
      <c r="F8" s="8">
        <v>4000</v>
      </c>
      <c r="G8" s="6" t="s">
        <v>0</v>
      </c>
      <c r="H8" s="9">
        <f t="shared" si="0"/>
        <v>4000</v>
      </c>
      <c r="I8" s="6" t="s">
        <v>0</v>
      </c>
      <c r="J8" s="6" t="s">
        <v>0</v>
      </c>
      <c r="L8" s="6" t="s">
        <v>0</v>
      </c>
      <c r="M8" s="6" t="s">
        <v>0</v>
      </c>
      <c r="O8" s="8">
        <v>4000</v>
      </c>
      <c r="P8" s="8">
        <v>4000</v>
      </c>
      <c r="Q8" s="8"/>
      <c r="R8" s="6" t="s">
        <v>0</v>
      </c>
      <c r="S8" s="6" t="s">
        <v>0</v>
      </c>
      <c r="U8" s="6" t="s">
        <v>0</v>
      </c>
      <c r="V8" s="6" t="s">
        <v>0</v>
      </c>
    </row>
    <row r="9" spans="1:29" x14ac:dyDescent="0.3">
      <c r="A9" s="11" t="s">
        <v>17</v>
      </c>
      <c r="B9" s="6" t="s">
        <v>18</v>
      </c>
      <c r="C9" s="7">
        <v>1</v>
      </c>
      <c r="D9" s="6" t="s">
        <v>4</v>
      </c>
      <c r="E9" s="8">
        <v>1100</v>
      </c>
      <c r="F9" s="8">
        <v>1100</v>
      </c>
      <c r="G9" s="6" t="s">
        <v>0</v>
      </c>
      <c r="H9" s="9">
        <f t="shared" si="0"/>
        <v>1100</v>
      </c>
      <c r="I9" s="6" t="s">
        <v>0</v>
      </c>
      <c r="J9" s="6" t="s">
        <v>0</v>
      </c>
      <c r="L9" s="6" t="s">
        <v>0</v>
      </c>
      <c r="M9" s="6" t="s">
        <v>0</v>
      </c>
      <c r="O9" s="8">
        <v>1100</v>
      </c>
      <c r="P9" s="8">
        <v>1100</v>
      </c>
      <c r="Q9" s="8"/>
      <c r="R9" s="6" t="s">
        <v>0</v>
      </c>
      <c r="S9" s="6" t="s">
        <v>0</v>
      </c>
      <c r="U9" s="6" t="s">
        <v>0</v>
      </c>
      <c r="V9" s="6" t="s">
        <v>0</v>
      </c>
    </row>
    <row r="10" spans="1:29" x14ac:dyDescent="0.3">
      <c r="A10" s="11" t="s">
        <v>19</v>
      </c>
      <c r="B10" s="6" t="s">
        <v>20</v>
      </c>
      <c r="C10" s="7">
        <v>1</v>
      </c>
      <c r="D10" s="6" t="s">
        <v>4</v>
      </c>
      <c r="E10" s="8">
        <v>1500</v>
      </c>
      <c r="F10" s="8">
        <v>1500</v>
      </c>
      <c r="G10" s="6" t="s">
        <v>0</v>
      </c>
      <c r="H10" s="9">
        <f t="shared" si="0"/>
        <v>1500</v>
      </c>
      <c r="I10" s="6" t="s">
        <v>0</v>
      </c>
      <c r="J10" s="6" t="s">
        <v>0</v>
      </c>
      <c r="L10" s="6" t="s">
        <v>0</v>
      </c>
      <c r="M10" s="6" t="s">
        <v>0</v>
      </c>
      <c r="O10" s="8">
        <v>1500</v>
      </c>
      <c r="P10" s="8">
        <v>1500</v>
      </c>
      <c r="Q10" s="8"/>
      <c r="R10" s="6" t="s">
        <v>0</v>
      </c>
      <c r="S10" s="6" t="s">
        <v>0</v>
      </c>
      <c r="U10" s="6" t="s">
        <v>0</v>
      </c>
      <c r="V10" s="6" t="s">
        <v>0</v>
      </c>
    </row>
    <row r="11" spans="1:29" x14ac:dyDescent="0.3">
      <c r="A11" s="11" t="s">
        <v>21</v>
      </c>
      <c r="B11" s="6" t="s">
        <v>22</v>
      </c>
      <c r="C11" s="7">
        <v>1</v>
      </c>
      <c r="D11" s="6" t="s">
        <v>4</v>
      </c>
      <c r="E11" s="8">
        <v>3000</v>
      </c>
      <c r="F11" s="8">
        <v>3000</v>
      </c>
      <c r="G11" s="6" t="s">
        <v>0</v>
      </c>
      <c r="H11" s="9">
        <f t="shared" si="0"/>
        <v>3000</v>
      </c>
      <c r="I11" s="6" t="s">
        <v>0</v>
      </c>
      <c r="J11" s="6" t="s">
        <v>0</v>
      </c>
      <c r="L11" s="8">
        <v>3000</v>
      </c>
      <c r="M11" s="8">
        <v>3000</v>
      </c>
      <c r="N11" s="8"/>
      <c r="O11" s="6" t="s">
        <v>0</v>
      </c>
      <c r="P11" s="6" t="s">
        <v>0</v>
      </c>
      <c r="R11" s="6" t="s">
        <v>0</v>
      </c>
      <c r="S11" s="6" t="s">
        <v>0</v>
      </c>
      <c r="U11" s="6" t="s">
        <v>0</v>
      </c>
      <c r="V11" s="6" t="s">
        <v>0</v>
      </c>
    </row>
    <row r="12" spans="1:29" x14ac:dyDescent="0.3">
      <c r="A12" s="11" t="s">
        <v>23</v>
      </c>
      <c r="B12" s="6" t="s">
        <v>24</v>
      </c>
      <c r="C12" s="7">
        <v>1</v>
      </c>
      <c r="D12" s="6" t="s">
        <v>4</v>
      </c>
      <c r="E12" s="8">
        <v>4000</v>
      </c>
      <c r="F12" s="8">
        <v>4000</v>
      </c>
      <c r="G12" s="6" t="s">
        <v>0</v>
      </c>
      <c r="H12" s="9">
        <f t="shared" si="0"/>
        <v>4000</v>
      </c>
      <c r="I12" s="6" t="s">
        <v>0</v>
      </c>
      <c r="J12" s="6" t="s">
        <v>0</v>
      </c>
      <c r="L12" s="6" t="s">
        <v>0</v>
      </c>
      <c r="M12" s="6" t="s">
        <v>0</v>
      </c>
      <c r="O12" s="6" t="s">
        <v>0</v>
      </c>
      <c r="P12" s="6" t="s">
        <v>0</v>
      </c>
      <c r="R12" s="6" t="s">
        <v>0</v>
      </c>
      <c r="S12" s="6" t="s">
        <v>0</v>
      </c>
      <c r="U12" s="8">
        <v>4000</v>
      </c>
      <c r="V12" s="8">
        <v>4000</v>
      </c>
    </row>
    <row r="13" spans="1:29" x14ac:dyDescent="0.3">
      <c r="A13" s="11" t="s">
        <v>25</v>
      </c>
      <c r="B13" s="6" t="s">
        <v>26</v>
      </c>
      <c r="C13" s="7">
        <v>1</v>
      </c>
      <c r="D13" s="6" t="s">
        <v>4</v>
      </c>
      <c r="E13" s="8">
        <v>21250</v>
      </c>
      <c r="F13" s="8">
        <v>21250</v>
      </c>
      <c r="G13" s="6" t="s">
        <v>0</v>
      </c>
      <c r="H13" s="9">
        <f t="shared" si="0"/>
        <v>21250</v>
      </c>
      <c r="I13" s="6" t="s">
        <v>0</v>
      </c>
      <c r="J13" s="6" t="s">
        <v>0</v>
      </c>
      <c r="L13" s="6" t="s">
        <v>0</v>
      </c>
      <c r="M13" s="6" t="s">
        <v>0</v>
      </c>
      <c r="O13" s="6" t="s">
        <v>0</v>
      </c>
      <c r="P13" s="6" t="s">
        <v>0</v>
      </c>
      <c r="R13" s="6" t="s">
        <v>0</v>
      </c>
      <c r="S13" s="6" t="s">
        <v>0</v>
      </c>
      <c r="U13" s="8">
        <v>21250</v>
      </c>
      <c r="V13" s="8">
        <v>21250</v>
      </c>
    </row>
    <row r="14" spans="1:29" x14ac:dyDescent="0.3">
      <c r="A14" s="11" t="s">
        <v>27</v>
      </c>
      <c r="B14" s="6" t="s">
        <v>28</v>
      </c>
      <c r="C14" s="7">
        <v>1</v>
      </c>
      <c r="D14" s="6" t="s">
        <v>4</v>
      </c>
      <c r="E14" s="8">
        <v>7900</v>
      </c>
      <c r="F14" s="8">
        <v>7900</v>
      </c>
      <c r="G14" s="6" t="s">
        <v>0</v>
      </c>
      <c r="H14" s="9">
        <f t="shared" si="0"/>
        <v>7900</v>
      </c>
      <c r="I14" s="6" t="s">
        <v>0</v>
      </c>
      <c r="J14" s="6" t="s">
        <v>0</v>
      </c>
      <c r="L14" s="6" t="s">
        <v>0</v>
      </c>
      <c r="M14" s="6" t="s">
        <v>0</v>
      </c>
      <c r="O14" s="6" t="s">
        <v>0</v>
      </c>
      <c r="P14" s="6" t="s">
        <v>0</v>
      </c>
      <c r="R14" s="6" t="s">
        <v>0</v>
      </c>
      <c r="S14" s="6" t="s">
        <v>0</v>
      </c>
      <c r="U14" s="8">
        <v>7900</v>
      </c>
      <c r="V14" s="8">
        <v>7900</v>
      </c>
    </row>
    <row r="15" spans="1:29" x14ac:dyDescent="0.3">
      <c r="A15" s="11" t="s">
        <v>29</v>
      </c>
      <c r="B15" s="6" t="s">
        <v>30</v>
      </c>
      <c r="C15" s="7">
        <v>1</v>
      </c>
      <c r="D15" s="6" t="s">
        <v>4</v>
      </c>
      <c r="E15" s="8">
        <v>28500</v>
      </c>
      <c r="F15" s="8">
        <v>28500</v>
      </c>
      <c r="G15" s="6" t="s">
        <v>0</v>
      </c>
      <c r="H15" s="9">
        <f t="shared" si="0"/>
        <v>28500</v>
      </c>
      <c r="I15" s="6" t="s">
        <v>0</v>
      </c>
      <c r="J15" s="6" t="s">
        <v>0</v>
      </c>
      <c r="L15" s="8">
        <v>28500</v>
      </c>
      <c r="M15" s="8">
        <v>28500</v>
      </c>
      <c r="N15" s="8"/>
      <c r="O15" s="6" t="s">
        <v>0</v>
      </c>
      <c r="P15" s="6" t="s">
        <v>0</v>
      </c>
      <c r="R15" s="6" t="s">
        <v>0</v>
      </c>
      <c r="S15" s="6" t="s">
        <v>0</v>
      </c>
      <c r="U15" s="6" t="s">
        <v>0</v>
      </c>
      <c r="V15" s="6" t="s">
        <v>0</v>
      </c>
    </row>
    <row r="16" spans="1:29" x14ac:dyDescent="0.3">
      <c r="A16" s="11" t="s">
        <v>31</v>
      </c>
      <c r="B16" s="6" t="s">
        <v>32</v>
      </c>
      <c r="C16" s="7">
        <v>1</v>
      </c>
      <c r="D16" s="6" t="s">
        <v>4</v>
      </c>
      <c r="E16" s="8">
        <v>8900</v>
      </c>
      <c r="F16" s="8">
        <v>8900</v>
      </c>
      <c r="G16" s="6" t="s">
        <v>0</v>
      </c>
      <c r="H16" s="9">
        <f t="shared" si="0"/>
        <v>8900</v>
      </c>
      <c r="I16" s="6" t="s">
        <v>0</v>
      </c>
      <c r="J16" s="6" t="s">
        <v>0</v>
      </c>
      <c r="L16" s="8">
        <v>8900</v>
      </c>
      <c r="M16" s="8">
        <v>8900</v>
      </c>
      <c r="N16" s="8"/>
      <c r="O16" s="6" t="s">
        <v>0</v>
      </c>
      <c r="P16" s="6" t="s">
        <v>0</v>
      </c>
      <c r="R16" s="6" t="s">
        <v>0</v>
      </c>
      <c r="S16" s="6" t="s">
        <v>0</v>
      </c>
      <c r="U16" s="6" t="s">
        <v>0</v>
      </c>
      <c r="V16" s="6" t="s">
        <v>0</v>
      </c>
    </row>
    <row r="17" spans="1:22" x14ac:dyDescent="0.3">
      <c r="A17" s="11" t="s">
        <v>33</v>
      </c>
      <c r="B17" s="6" t="s">
        <v>34</v>
      </c>
      <c r="C17" s="7">
        <v>1</v>
      </c>
      <c r="D17" s="6" t="s">
        <v>4</v>
      </c>
      <c r="E17" s="8">
        <v>10800</v>
      </c>
      <c r="F17" s="8">
        <v>10800</v>
      </c>
      <c r="G17" s="6" t="s">
        <v>0</v>
      </c>
      <c r="H17" s="9">
        <f t="shared" si="0"/>
        <v>10800</v>
      </c>
      <c r="I17" s="6" t="s">
        <v>0</v>
      </c>
      <c r="J17" s="6" t="s">
        <v>0</v>
      </c>
      <c r="L17" s="8">
        <v>10800</v>
      </c>
      <c r="M17" s="8">
        <v>10800</v>
      </c>
      <c r="N17" s="8"/>
      <c r="O17" s="6" t="s">
        <v>0</v>
      </c>
      <c r="P17" s="6" t="s">
        <v>0</v>
      </c>
      <c r="R17" s="6" t="s">
        <v>0</v>
      </c>
      <c r="S17" s="6" t="s">
        <v>0</v>
      </c>
      <c r="U17" s="6" t="s">
        <v>0</v>
      </c>
      <c r="V17" s="6" t="s">
        <v>0</v>
      </c>
    </row>
    <row r="18" spans="1:22" x14ac:dyDescent="0.3">
      <c r="A18" s="11" t="s">
        <v>633</v>
      </c>
      <c r="B18" s="6" t="s">
        <v>634</v>
      </c>
      <c r="C18" s="7">
        <v>1</v>
      </c>
      <c r="D18" s="6" t="s">
        <v>4</v>
      </c>
      <c r="E18" s="8">
        <v>30000</v>
      </c>
      <c r="F18" s="8">
        <v>30000</v>
      </c>
      <c r="H18" s="9">
        <f t="shared" si="0"/>
        <v>30000</v>
      </c>
      <c r="L18" s="8"/>
      <c r="M18" s="8"/>
      <c r="N18" s="8"/>
    </row>
    <row r="19" spans="1:22" x14ac:dyDescent="0.3">
      <c r="A19" s="11" t="s">
        <v>35</v>
      </c>
      <c r="B19" s="6" t="s">
        <v>36</v>
      </c>
      <c r="C19" s="7">
        <v>1</v>
      </c>
      <c r="D19" s="6" t="s">
        <v>4</v>
      </c>
      <c r="E19" s="8">
        <v>27200</v>
      </c>
      <c r="F19" s="8">
        <v>27200</v>
      </c>
      <c r="G19" s="6" t="s">
        <v>0</v>
      </c>
      <c r="H19" s="9">
        <f t="shared" si="0"/>
        <v>27200</v>
      </c>
      <c r="I19" s="6" t="s">
        <v>0</v>
      </c>
      <c r="J19" s="6" t="s">
        <v>0</v>
      </c>
      <c r="L19" s="6" t="s">
        <v>0</v>
      </c>
      <c r="M19" s="6" t="s">
        <v>0</v>
      </c>
      <c r="O19" s="8">
        <v>27200</v>
      </c>
      <c r="P19" s="8">
        <v>27200</v>
      </c>
      <c r="Q19" s="8"/>
      <c r="R19" s="6" t="s">
        <v>0</v>
      </c>
      <c r="S19" s="6" t="s">
        <v>0</v>
      </c>
      <c r="U19" s="6" t="s">
        <v>0</v>
      </c>
      <c r="V19" s="6" t="s">
        <v>0</v>
      </c>
    </row>
    <row r="20" spans="1:22" x14ac:dyDescent="0.3">
      <c r="A20" s="11" t="s">
        <v>37</v>
      </c>
      <c r="B20" s="6" t="s">
        <v>38</v>
      </c>
      <c r="C20" s="7">
        <v>4001.135808820211</v>
      </c>
      <c r="D20" s="6" t="s">
        <v>39</v>
      </c>
      <c r="E20" s="8">
        <v>4</v>
      </c>
      <c r="F20" s="8">
        <v>16004.543235280846</v>
      </c>
      <c r="G20" s="6" t="s">
        <v>0</v>
      </c>
      <c r="H20" s="9">
        <f t="shared" si="0"/>
        <v>16004.543235280846</v>
      </c>
      <c r="I20" s="6" t="s">
        <v>0</v>
      </c>
      <c r="J20" s="6" t="s">
        <v>0</v>
      </c>
      <c r="L20" s="6" t="s">
        <v>0</v>
      </c>
      <c r="M20" s="6" t="s">
        <v>0</v>
      </c>
      <c r="O20" s="8">
        <v>4.0000000000000009</v>
      </c>
      <c r="P20" s="8">
        <v>16004.543235280846</v>
      </c>
      <c r="Q20" s="8">
        <f>P20</f>
        <v>16004.543235280846</v>
      </c>
      <c r="R20" s="6" t="s">
        <v>0</v>
      </c>
      <c r="S20" s="6" t="s">
        <v>0</v>
      </c>
      <c r="U20" s="6" t="s">
        <v>0</v>
      </c>
      <c r="V20" s="6" t="s">
        <v>0</v>
      </c>
    </row>
    <row r="21" spans="1:22" x14ac:dyDescent="0.3">
      <c r="A21" s="11" t="s">
        <v>37</v>
      </c>
      <c r="B21" s="6" t="s">
        <v>40</v>
      </c>
      <c r="C21" s="7">
        <v>6401.8172941123394</v>
      </c>
      <c r="D21" s="6" t="s">
        <v>41</v>
      </c>
      <c r="E21" s="8">
        <v>6.5</v>
      </c>
      <c r="F21" s="8">
        <v>41611.812411730207</v>
      </c>
      <c r="G21" s="6" t="s">
        <v>0</v>
      </c>
      <c r="H21" s="9">
        <f t="shared" si="0"/>
        <v>41611.812411730207</v>
      </c>
      <c r="I21" s="6" t="s">
        <v>0</v>
      </c>
      <c r="J21" s="6" t="s">
        <v>0</v>
      </c>
      <c r="L21" s="6" t="s">
        <v>0</v>
      </c>
      <c r="M21" s="6" t="s">
        <v>0</v>
      </c>
      <c r="O21" s="8">
        <v>6.5</v>
      </c>
      <c r="P21" s="8">
        <v>41611.812411730207</v>
      </c>
      <c r="Q21" s="8"/>
      <c r="R21" s="6" t="s">
        <v>0</v>
      </c>
      <c r="S21" s="6" t="s">
        <v>0</v>
      </c>
      <c r="U21" s="6" t="s">
        <v>0</v>
      </c>
      <c r="V21" s="6" t="s">
        <v>0</v>
      </c>
    </row>
    <row r="22" spans="1:22" x14ac:dyDescent="0.3">
      <c r="A22" s="11" t="s">
        <v>37</v>
      </c>
      <c r="B22" s="6" t="s">
        <v>42</v>
      </c>
      <c r="C22" s="7">
        <v>1</v>
      </c>
      <c r="D22" s="6" t="s">
        <v>43</v>
      </c>
      <c r="E22" s="8">
        <v>2400</v>
      </c>
      <c r="F22" s="8">
        <v>2400</v>
      </c>
      <c r="G22" s="6" t="s">
        <v>0</v>
      </c>
      <c r="H22" s="9">
        <f t="shared" si="0"/>
        <v>2400</v>
      </c>
      <c r="I22" s="6" t="s">
        <v>0</v>
      </c>
      <c r="J22" s="6" t="s">
        <v>0</v>
      </c>
      <c r="L22" s="6" t="s">
        <v>0</v>
      </c>
      <c r="M22" s="6" t="s">
        <v>0</v>
      </c>
      <c r="O22" s="8">
        <v>2400</v>
      </c>
      <c r="P22" s="8">
        <v>2400</v>
      </c>
      <c r="Q22" s="8"/>
      <c r="R22" s="6" t="s">
        <v>0</v>
      </c>
      <c r="S22" s="6" t="s">
        <v>0</v>
      </c>
      <c r="U22" s="6" t="s">
        <v>0</v>
      </c>
      <c r="V22" s="6" t="s">
        <v>0</v>
      </c>
    </row>
    <row r="23" spans="1:22" x14ac:dyDescent="0.3">
      <c r="A23" s="11" t="s">
        <v>37</v>
      </c>
      <c r="B23" s="6" t="s">
        <v>44</v>
      </c>
      <c r="C23" s="7">
        <v>2</v>
      </c>
      <c r="D23" s="6" t="s">
        <v>45</v>
      </c>
      <c r="E23" s="8">
        <v>250</v>
      </c>
      <c r="F23" s="8">
        <v>500</v>
      </c>
      <c r="G23" s="6" t="s">
        <v>0</v>
      </c>
      <c r="H23" s="9">
        <f t="shared" si="0"/>
        <v>500</v>
      </c>
      <c r="I23" s="6" t="s">
        <v>0</v>
      </c>
      <c r="J23" s="6" t="s">
        <v>0</v>
      </c>
      <c r="L23" s="6" t="s">
        <v>0</v>
      </c>
      <c r="M23" s="6" t="s">
        <v>0</v>
      </c>
      <c r="O23" s="8">
        <v>250</v>
      </c>
      <c r="P23" s="8">
        <v>500</v>
      </c>
      <c r="Q23" s="8"/>
      <c r="R23" s="6" t="s">
        <v>0</v>
      </c>
      <c r="S23" s="6" t="s">
        <v>0</v>
      </c>
      <c r="U23" s="6" t="s">
        <v>0</v>
      </c>
      <c r="V23" s="6" t="s">
        <v>0</v>
      </c>
    </row>
    <row r="24" spans="1:22" x14ac:dyDescent="0.3">
      <c r="A24" s="11" t="s">
        <v>37</v>
      </c>
      <c r="B24" s="6" t="s">
        <v>46</v>
      </c>
      <c r="C24" s="7">
        <v>1211.0815400247409</v>
      </c>
      <c r="D24" s="6" t="s">
        <v>47</v>
      </c>
      <c r="E24" s="8">
        <v>1.5999999999999999</v>
      </c>
      <c r="F24" s="8">
        <v>1937.7304640395853</v>
      </c>
      <c r="G24" s="6" t="s">
        <v>0</v>
      </c>
      <c r="H24" s="9">
        <f t="shared" si="0"/>
        <v>1937.7304640395853</v>
      </c>
      <c r="I24" s="6" t="s">
        <v>0</v>
      </c>
      <c r="J24" s="6" t="s">
        <v>0</v>
      </c>
      <c r="L24" s="8">
        <v>1.1499999999999999</v>
      </c>
      <c r="M24" s="8">
        <v>1392.7437710284519</v>
      </c>
      <c r="N24" s="8"/>
      <c r="O24" s="8">
        <v>0.45</v>
      </c>
      <c r="P24" s="8">
        <v>544.98669301113341</v>
      </c>
      <c r="Q24" s="8"/>
      <c r="R24" s="6" t="s">
        <v>0</v>
      </c>
      <c r="S24" s="6" t="s">
        <v>0</v>
      </c>
      <c r="U24" s="6" t="s">
        <v>0</v>
      </c>
      <c r="V24" s="6" t="s">
        <v>0</v>
      </c>
    </row>
    <row r="25" spans="1:22" x14ac:dyDescent="0.3">
      <c r="A25" s="11" t="s">
        <v>37</v>
      </c>
      <c r="B25" s="6" t="s">
        <v>48</v>
      </c>
      <c r="C25" s="7">
        <v>924.82590329162042</v>
      </c>
      <c r="D25" s="6" t="s">
        <v>39</v>
      </c>
      <c r="E25" s="8">
        <v>18.144500000000001</v>
      </c>
      <c r="F25" s="8">
        <v>16780.50360227481</v>
      </c>
      <c r="G25" s="6" t="s">
        <v>0</v>
      </c>
      <c r="H25" s="9">
        <f t="shared" si="0"/>
        <v>16780.50360227481</v>
      </c>
      <c r="I25" s="6" t="s">
        <v>0</v>
      </c>
      <c r="J25" s="6" t="s">
        <v>0</v>
      </c>
      <c r="L25" s="8">
        <v>13.744500000000002</v>
      </c>
      <c r="M25" s="8">
        <v>12711.269627791678</v>
      </c>
      <c r="N25" s="8"/>
      <c r="O25" s="8">
        <v>4.4000000000000004</v>
      </c>
      <c r="P25" s="8">
        <v>4069.2339744831302</v>
      </c>
      <c r="Q25" s="8"/>
      <c r="R25" s="6" t="s">
        <v>0</v>
      </c>
      <c r="S25" s="6" t="s">
        <v>0</v>
      </c>
      <c r="U25" s="6" t="s">
        <v>0</v>
      </c>
      <c r="V25" s="6" t="s">
        <v>0</v>
      </c>
    </row>
    <row r="26" spans="1:22" x14ac:dyDescent="0.3">
      <c r="A26" s="11" t="s">
        <v>37</v>
      </c>
      <c r="B26" s="6" t="s">
        <v>49</v>
      </c>
      <c r="C26" s="7">
        <v>3302.9496546129299</v>
      </c>
      <c r="D26" s="6" t="s">
        <v>47</v>
      </c>
      <c r="E26" s="8">
        <v>1.2124999999999999</v>
      </c>
      <c r="F26" s="8">
        <v>4004.8264562181776</v>
      </c>
      <c r="G26" s="6" t="s">
        <v>0</v>
      </c>
      <c r="H26" s="9">
        <f t="shared" si="0"/>
        <v>4004.8264562181776</v>
      </c>
      <c r="I26" s="6" t="s">
        <v>0</v>
      </c>
      <c r="J26" s="6" t="s">
        <v>0</v>
      </c>
      <c r="L26" s="6" t="s">
        <v>0</v>
      </c>
      <c r="M26" s="6" t="s">
        <v>0</v>
      </c>
      <c r="O26" s="8">
        <v>1.2125000000000001</v>
      </c>
      <c r="P26" s="8">
        <v>4004.8264562181776</v>
      </c>
      <c r="Q26" s="8"/>
      <c r="R26" s="6" t="s">
        <v>0</v>
      </c>
      <c r="S26" s="6" t="s">
        <v>0</v>
      </c>
      <c r="U26" s="6" t="s">
        <v>0</v>
      </c>
      <c r="V26" s="6" t="s">
        <v>0</v>
      </c>
    </row>
    <row r="27" spans="1:22" x14ac:dyDescent="0.3">
      <c r="A27" s="11" t="s">
        <v>37</v>
      </c>
      <c r="B27" s="6" t="s">
        <v>46</v>
      </c>
      <c r="C27" s="7">
        <v>72.161641684184687</v>
      </c>
      <c r="D27" s="6" t="s">
        <v>47</v>
      </c>
      <c r="E27" s="8">
        <v>1.5999999999999999</v>
      </c>
      <c r="F27" s="8">
        <v>115.4586266946955</v>
      </c>
      <c r="G27" s="6" t="s">
        <v>0</v>
      </c>
      <c r="H27" s="9">
        <f t="shared" si="0"/>
        <v>115.4586266946955</v>
      </c>
      <c r="I27" s="6" t="s">
        <v>0</v>
      </c>
      <c r="J27" s="6" t="s">
        <v>0</v>
      </c>
      <c r="L27" s="8">
        <v>1.1499999999999999</v>
      </c>
      <c r="M27" s="8">
        <v>82.985887936812389</v>
      </c>
      <c r="N27" s="8"/>
      <c r="O27" s="8">
        <v>0.44999999999999996</v>
      </c>
      <c r="P27" s="8">
        <v>32.472738757883107</v>
      </c>
      <c r="Q27" s="8"/>
      <c r="R27" s="6" t="s">
        <v>0</v>
      </c>
      <c r="S27" s="6" t="s">
        <v>0</v>
      </c>
      <c r="U27" s="6" t="s">
        <v>0</v>
      </c>
      <c r="V27" s="6" t="s">
        <v>0</v>
      </c>
    </row>
    <row r="28" spans="1:22" x14ac:dyDescent="0.3">
      <c r="A28" s="11" t="s">
        <v>37</v>
      </c>
      <c r="B28" s="6" t="s">
        <v>50</v>
      </c>
      <c r="C28" s="7">
        <v>137.7631341243526</v>
      </c>
      <c r="D28" s="6" t="s">
        <v>39</v>
      </c>
      <c r="E28" s="8">
        <v>23.02</v>
      </c>
      <c r="F28" s="8">
        <v>3171.3073475425972</v>
      </c>
      <c r="G28" s="6" t="s">
        <v>0</v>
      </c>
      <c r="H28" s="9">
        <f t="shared" si="0"/>
        <v>3171.3073475425972</v>
      </c>
      <c r="I28" s="6" t="s">
        <v>0</v>
      </c>
      <c r="J28" s="6" t="s">
        <v>0</v>
      </c>
      <c r="L28" s="8">
        <v>9.52</v>
      </c>
      <c r="M28" s="8">
        <v>1311.5050368638367</v>
      </c>
      <c r="N28" s="8"/>
      <c r="O28" s="8">
        <v>13.5</v>
      </c>
      <c r="P28" s="8">
        <v>1859.8023106787603</v>
      </c>
      <c r="Q28" s="8"/>
      <c r="R28" s="6" t="s">
        <v>0</v>
      </c>
      <c r="S28" s="6" t="s">
        <v>0</v>
      </c>
      <c r="U28" s="6" t="s">
        <v>0</v>
      </c>
      <c r="V28" s="6" t="s">
        <v>0</v>
      </c>
    </row>
    <row r="29" spans="1:22" x14ac:dyDescent="0.3">
      <c r="A29" s="11" t="s">
        <v>37</v>
      </c>
      <c r="B29" s="6" t="s">
        <v>51</v>
      </c>
      <c r="C29" s="7">
        <v>328.00746220083943</v>
      </c>
      <c r="D29" s="6" t="s">
        <v>47</v>
      </c>
      <c r="E29" s="8">
        <v>1.2124999999999999</v>
      </c>
      <c r="F29" s="8">
        <v>397.70904791851785</v>
      </c>
      <c r="G29" s="6" t="s">
        <v>0</v>
      </c>
      <c r="H29" s="9">
        <f t="shared" si="0"/>
        <v>397.70904791851785</v>
      </c>
      <c r="I29" s="6" t="s">
        <v>0</v>
      </c>
      <c r="J29" s="6" t="s">
        <v>0</v>
      </c>
      <c r="L29" s="6" t="s">
        <v>0</v>
      </c>
      <c r="M29" s="6" t="s">
        <v>0</v>
      </c>
      <c r="O29" s="8">
        <v>1.2125000000000001</v>
      </c>
      <c r="P29" s="8">
        <v>397.70904791851785</v>
      </c>
      <c r="Q29" s="8"/>
      <c r="R29" s="6" t="s">
        <v>0</v>
      </c>
      <c r="S29" s="6" t="s">
        <v>0</v>
      </c>
      <c r="U29" s="6" t="s">
        <v>0</v>
      </c>
      <c r="V29" s="6" t="s">
        <v>0</v>
      </c>
    </row>
    <row r="30" spans="1:22" x14ac:dyDescent="0.3">
      <c r="A30" s="11" t="s">
        <v>37</v>
      </c>
      <c r="B30" s="6" t="s">
        <v>46</v>
      </c>
      <c r="C30" s="7">
        <v>851.41971314441446</v>
      </c>
      <c r="D30" s="6" t="s">
        <v>47</v>
      </c>
      <c r="E30" s="8">
        <v>1.5999999999999999</v>
      </c>
      <c r="F30" s="8">
        <v>1362.271541031063</v>
      </c>
      <c r="G30" s="6" t="s">
        <v>0</v>
      </c>
      <c r="H30" s="9">
        <f t="shared" si="0"/>
        <v>1362.271541031063</v>
      </c>
      <c r="I30" s="6" t="s">
        <v>0</v>
      </c>
      <c r="J30" s="6" t="s">
        <v>0</v>
      </c>
      <c r="L30" s="8">
        <v>1.1499999999999999</v>
      </c>
      <c r="M30" s="8">
        <v>979.1326701160765</v>
      </c>
      <c r="N30" s="8"/>
      <c r="O30" s="8">
        <v>0.45</v>
      </c>
      <c r="P30" s="8">
        <v>383.13887091498651</v>
      </c>
      <c r="Q30" s="8"/>
      <c r="R30" s="6" t="s">
        <v>0</v>
      </c>
      <c r="S30" s="6" t="s">
        <v>0</v>
      </c>
      <c r="U30" s="6" t="s">
        <v>0</v>
      </c>
      <c r="V30" s="6" t="s">
        <v>0</v>
      </c>
    </row>
    <row r="31" spans="1:22" x14ac:dyDescent="0.3">
      <c r="A31" s="11" t="s">
        <v>37</v>
      </c>
      <c r="B31" s="6" t="s">
        <v>52</v>
      </c>
      <c r="C31" s="7">
        <v>1356.514148134936</v>
      </c>
      <c r="D31" s="6" t="s">
        <v>39</v>
      </c>
      <c r="E31" s="8">
        <v>15.32</v>
      </c>
      <c r="F31" s="8">
        <v>20781.79674942722</v>
      </c>
      <c r="G31" s="6" t="s">
        <v>0</v>
      </c>
      <c r="H31" s="9">
        <f t="shared" si="0"/>
        <v>20781.79674942722</v>
      </c>
      <c r="I31" s="6" t="s">
        <v>0</v>
      </c>
      <c r="J31" s="6" t="s">
        <v>0</v>
      </c>
      <c r="L31" s="8">
        <v>9.52</v>
      </c>
      <c r="M31" s="8">
        <v>12914.01469024459</v>
      </c>
      <c r="N31" s="8"/>
      <c r="O31" s="8">
        <v>5.8000000000000007</v>
      </c>
      <c r="P31" s="8">
        <v>7867.7820591826294</v>
      </c>
      <c r="Q31" s="8"/>
      <c r="R31" s="6" t="s">
        <v>0</v>
      </c>
      <c r="S31" s="6" t="s">
        <v>0</v>
      </c>
      <c r="U31" s="6" t="s">
        <v>0</v>
      </c>
      <c r="V31" s="6" t="s">
        <v>0</v>
      </c>
    </row>
    <row r="32" spans="1:22" x14ac:dyDescent="0.3">
      <c r="A32" s="11" t="s">
        <v>37</v>
      </c>
      <c r="B32" s="6" t="s">
        <v>53</v>
      </c>
      <c r="C32" s="7">
        <v>2870.9294140421921</v>
      </c>
      <c r="D32" s="6" t="s">
        <v>47</v>
      </c>
      <c r="E32" s="8">
        <v>2.1825000000000001</v>
      </c>
      <c r="F32" s="8">
        <v>6265.8034461470843</v>
      </c>
      <c r="G32" s="6" t="s">
        <v>0</v>
      </c>
      <c r="H32" s="9">
        <f t="shared" si="0"/>
        <v>6265.8034461470843</v>
      </c>
      <c r="I32" s="6" t="s">
        <v>0</v>
      </c>
      <c r="J32" s="6" t="s">
        <v>0</v>
      </c>
      <c r="L32" s="6" t="s">
        <v>0</v>
      </c>
      <c r="M32" s="6" t="s">
        <v>0</v>
      </c>
      <c r="O32" s="8">
        <v>2.1825000000000001</v>
      </c>
      <c r="P32" s="8">
        <v>6265.8034461470843</v>
      </c>
      <c r="Q32" s="8"/>
      <c r="R32" s="6" t="s">
        <v>0</v>
      </c>
      <c r="S32" s="6" t="s">
        <v>0</v>
      </c>
      <c r="U32" s="6" t="s">
        <v>0</v>
      </c>
      <c r="V32" s="6" t="s">
        <v>0</v>
      </c>
    </row>
    <row r="33" spans="1:22" x14ac:dyDescent="0.3">
      <c r="A33" s="11" t="s">
        <v>37</v>
      </c>
      <c r="B33" s="6" t="s">
        <v>54</v>
      </c>
      <c r="C33" s="7">
        <v>122.95152912274941</v>
      </c>
      <c r="D33" s="6" t="s">
        <v>47</v>
      </c>
      <c r="E33" s="8">
        <v>1.5999999999999999</v>
      </c>
      <c r="F33" s="8">
        <v>196.72244659639904</v>
      </c>
      <c r="G33" s="6" t="s">
        <v>0</v>
      </c>
      <c r="H33" s="9">
        <f t="shared" si="0"/>
        <v>196.72244659639904</v>
      </c>
      <c r="I33" s="6" t="s">
        <v>0</v>
      </c>
      <c r="J33" s="6" t="s">
        <v>0</v>
      </c>
      <c r="L33" s="8">
        <v>1.1499999999999999</v>
      </c>
      <c r="M33" s="8">
        <v>141.39425849116179</v>
      </c>
      <c r="N33" s="8"/>
      <c r="O33" s="8">
        <v>0.45</v>
      </c>
      <c r="P33" s="8">
        <v>55.328188105237231</v>
      </c>
      <c r="Q33" s="8"/>
      <c r="R33" s="6" t="s">
        <v>0</v>
      </c>
      <c r="S33" s="6" t="s">
        <v>0</v>
      </c>
      <c r="U33" s="6" t="s">
        <v>0</v>
      </c>
      <c r="V33" s="6" t="s">
        <v>0</v>
      </c>
    </row>
    <row r="34" spans="1:22" x14ac:dyDescent="0.3">
      <c r="A34" s="11" t="s">
        <v>37</v>
      </c>
      <c r="B34" s="6" t="s">
        <v>55</v>
      </c>
      <c r="C34" s="7">
        <v>109.0802162946036</v>
      </c>
      <c r="D34" s="6" t="s">
        <v>39</v>
      </c>
      <c r="E34" s="8">
        <v>21.7088</v>
      </c>
      <c r="F34" s="8">
        <v>2368.0005994962908</v>
      </c>
      <c r="G34" s="6" t="s">
        <v>0</v>
      </c>
      <c r="H34" s="9">
        <f t="shared" si="0"/>
        <v>2368.0005994962908</v>
      </c>
      <c r="I34" s="6" t="s">
        <v>0</v>
      </c>
      <c r="J34" s="6" t="s">
        <v>0</v>
      </c>
      <c r="L34" s="8">
        <v>15.1088</v>
      </c>
      <c r="M34" s="8">
        <v>1648.071171951907</v>
      </c>
      <c r="N34" s="8"/>
      <c r="O34" s="8">
        <v>6.6</v>
      </c>
      <c r="P34" s="8">
        <v>719.92942754438377</v>
      </c>
      <c r="Q34" s="8"/>
      <c r="R34" s="6" t="s">
        <v>0</v>
      </c>
      <c r="S34" s="6" t="s">
        <v>0</v>
      </c>
      <c r="U34" s="6" t="s">
        <v>0</v>
      </c>
      <c r="V34" s="6" t="s">
        <v>0</v>
      </c>
    </row>
    <row r="35" spans="1:22" x14ac:dyDescent="0.3">
      <c r="A35" s="11" t="s">
        <v>37</v>
      </c>
      <c r="B35" s="6" t="s">
        <v>56</v>
      </c>
      <c r="C35" s="7">
        <v>83.830588038238218</v>
      </c>
      <c r="D35" s="6" t="s">
        <v>47</v>
      </c>
      <c r="E35" s="8">
        <v>0.82450000000000001</v>
      </c>
      <c r="F35" s="8">
        <v>69.118319837527423</v>
      </c>
      <c r="G35" s="6" t="s">
        <v>0</v>
      </c>
      <c r="H35" s="9">
        <f t="shared" si="0"/>
        <v>69.118319837527423</v>
      </c>
      <c r="I35" s="6" t="s">
        <v>0</v>
      </c>
      <c r="J35" s="6" t="s">
        <v>0</v>
      </c>
      <c r="L35" s="6" t="s">
        <v>0</v>
      </c>
      <c r="M35" s="6" t="s">
        <v>0</v>
      </c>
      <c r="O35" s="8">
        <v>0.82450000000000012</v>
      </c>
      <c r="P35" s="8">
        <v>69.118319837527423</v>
      </c>
      <c r="Q35" s="8"/>
      <c r="R35" s="6" t="s">
        <v>0</v>
      </c>
      <c r="S35" s="6" t="s">
        <v>0</v>
      </c>
      <c r="U35" s="6" t="s">
        <v>0</v>
      </c>
      <c r="V35" s="6" t="s">
        <v>0</v>
      </c>
    </row>
    <row r="36" spans="1:22" x14ac:dyDescent="0.3">
      <c r="A36" s="11" t="s">
        <v>37</v>
      </c>
      <c r="B36" s="6" t="s">
        <v>46</v>
      </c>
      <c r="C36" s="7">
        <v>911.24522909005361</v>
      </c>
      <c r="D36" s="6" t="s">
        <v>47</v>
      </c>
      <c r="E36" s="8">
        <v>1.5999999999999999</v>
      </c>
      <c r="F36" s="8">
        <v>1457.9923665440856</v>
      </c>
      <c r="G36" s="6" t="s">
        <v>0</v>
      </c>
      <c r="H36" s="9">
        <f t="shared" si="0"/>
        <v>1457.9923665440856</v>
      </c>
      <c r="I36" s="6" t="s">
        <v>0</v>
      </c>
      <c r="J36" s="6" t="s">
        <v>0</v>
      </c>
      <c r="L36" s="8">
        <v>1.1499999999999997</v>
      </c>
      <c r="M36" s="8">
        <v>1047.9320134535615</v>
      </c>
      <c r="N36" s="8"/>
      <c r="O36" s="8">
        <v>0.45</v>
      </c>
      <c r="P36" s="8">
        <v>410.06035309052413</v>
      </c>
      <c r="Q36" s="8"/>
      <c r="R36" s="6" t="s">
        <v>0</v>
      </c>
      <c r="S36" s="6" t="s">
        <v>0</v>
      </c>
      <c r="U36" s="6" t="s">
        <v>0</v>
      </c>
      <c r="V36" s="6" t="s">
        <v>0</v>
      </c>
    </row>
    <row r="37" spans="1:22" x14ac:dyDescent="0.3">
      <c r="A37" s="11" t="s">
        <v>37</v>
      </c>
      <c r="B37" s="6" t="s">
        <v>57</v>
      </c>
      <c r="C37" s="7">
        <v>2485.2142611546919</v>
      </c>
      <c r="D37" s="6" t="s">
        <v>47</v>
      </c>
      <c r="E37" s="8">
        <v>2.14</v>
      </c>
      <c r="F37" s="8">
        <v>5318.3585188710404</v>
      </c>
      <c r="G37" s="6" t="s">
        <v>0</v>
      </c>
      <c r="H37" s="9">
        <f t="shared" si="0"/>
        <v>5318.3585188710404</v>
      </c>
      <c r="I37" s="6" t="s">
        <v>0</v>
      </c>
      <c r="J37" s="6" t="s">
        <v>0</v>
      </c>
      <c r="L37" s="6" t="s">
        <v>0</v>
      </c>
      <c r="M37" s="6" t="s">
        <v>0</v>
      </c>
      <c r="O37" s="8">
        <v>2.1399999999999997</v>
      </c>
      <c r="P37" s="8">
        <v>5318.3585188710404</v>
      </c>
      <c r="Q37" s="8"/>
      <c r="R37" s="6" t="s">
        <v>0</v>
      </c>
      <c r="S37" s="6" t="s">
        <v>0</v>
      </c>
      <c r="U37" s="6" t="s">
        <v>0</v>
      </c>
      <c r="V37" s="6" t="s">
        <v>0</v>
      </c>
    </row>
    <row r="38" spans="1:22" x14ac:dyDescent="0.3">
      <c r="A38" s="11" t="s">
        <v>37</v>
      </c>
      <c r="B38" s="6" t="s">
        <v>58</v>
      </c>
      <c r="C38" s="7">
        <v>447.33856700784457</v>
      </c>
      <c r="D38" s="6" t="s">
        <v>39</v>
      </c>
      <c r="E38" s="8">
        <v>18.567</v>
      </c>
      <c r="F38" s="8">
        <v>8305.73517363465</v>
      </c>
      <c r="G38" s="6" t="s">
        <v>0</v>
      </c>
      <c r="H38" s="9">
        <f t="shared" si="0"/>
        <v>8305.73517363465</v>
      </c>
      <c r="I38" s="6" t="s">
        <v>0</v>
      </c>
      <c r="J38" s="6" t="s">
        <v>0</v>
      </c>
      <c r="L38" s="8">
        <v>13.167</v>
      </c>
      <c r="M38" s="8">
        <v>5890.1069117922898</v>
      </c>
      <c r="N38" s="8"/>
      <c r="O38" s="8">
        <v>5.3999999999999995</v>
      </c>
      <c r="P38" s="8">
        <v>2415.6282618423606</v>
      </c>
      <c r="Q38" s="8"/>
      <c r="R38" s="6" t="s">
        <v>0</v>
      </c>
      <c r="S38" s="6" t="s">
        <v>0</v>
      </c>
      <c r="U38" s="6" t="s">
        <v>0</v>
      </c>
      <c r="V38" s="6" t="s">
        <v>0</v>
      </c>
    </row>
    <row r="39" spans="1:22" x14ac:dyDescent="0.3">
      <c r="A39" s="11" t="s">
        <v>37</v>
      </c>
      <c r="B39" s="6" t="s">
        <v>59</v>
      </c>
      <c r="C39" s="7">
        <v>223.66928350392229</v>
      </c>
      <c r="D39" s="6" t="s">
        <v>39</v>
      </c>
      <c r="E39" s="8">
        <v>15.48</v>
      </c>
      <c r="F39" s="8">
        <v>3462.4005086407169</v>
      </c>
      <c r="G39" s="6" t="s">
        <v>0</v>
      </c>
      <c r="H39" s="9">
        <f t="shared" si="0"/>
        <v>3462.4005086407169</v>
      </c>
      <c r="I39" s="6" t="s">
        <v>0</v>
      </c>
      <c r="J39" s="6" t="s">
        <v>0</v>
      </c>
      <c r="L39" s="8">
        <v>10.08</v>
      </c>
      <c r="M39" s="8">
        <v>2254.5863777195368</v>
      </c>
      <c r="N39" s="8"/>
      <c r="O39" s="8">
        <v>5.3999999999999995</v>
      </c>
      <c r="P39" s="8">
        <v>1207.8141309211803</v>
      </c>
      <c r="Q39" s="8"/>
      <c r="R39" s="6" t="s">
        <v>0</v>
      </c>
      <c r="S39" s="6" t="s">
        <v>0</v>
      </c>
      <c r="U39" s="6" t="s">
        <v>0</v>
      </c>
      <c r="V39" s="6" t="s">
        <v>0</v>
      </c>
    </row>
    <row r="40" spans="1:22" x14ac:dyDescent="0.3">
      <c r="A40" s="11" t="s">
        <v>60</v>
      </c>
      <c r="B40" s="6" t="s">
        <v>61</v>
      </c>
      <c r="C40" s="7">
        <v>1</v>
      </c>
      <c r="D40" s="6" t="s">
        <v>4</v>
      </c>
      <c r="E40" s="8">
        <v>37500</v>
      </c>
      <c r="F40" s="8">
        <v>37500</v>
      </c>
      <c r="H40" s="9">
        <f t="shared" si="0"/>
        <v>37500</v>
      </c>
      <c r="I40" s="6" t="s">
        <v>0</v>
      </c>
      <c r="J40" s="6" t="s">
        <v>0</v>
      </c>
      <c r="L40" s="6" t="s">
        <v>0</v>
      </c>
      <c r="M40" s="6" t="s">
        <v>0</v>
      </c>
      <c r="O40" s="8">
        <v>37500</v>
      </c>
      <c r="P40" s="8">
        <v>37500</v>
      </c>
      <c r="Q40" s="8"/>
      <c r="R40" s="6" t="s">
        <v>0</v>
      </c>
      <c r="S40" s="6" t="s">
        <v>0</v>
      </c>
      <c r="U40" s="6" t="s">
        <v>0</v>
      </c>
      <c r="V40" s="6" t="s">
        <v>0</v>
      </c>
    </row>
    <row r="41" spans="1:22" x14ac:dyDescent="0.3">
      <c r="A41" s="11" t="s">
        <v>62</v>
      </c>
      <c r="B41" s="6" t="s">
        <v>63</v>
      </c>
      <c r="C41" s="7">
        <v>1</v>
      </c>
      <c r="D41" s="6" t="s">
        <v>4</v>
      </c>
      <c r="E41" s="8">
        <v>45200</v>
      </c>
      <c r="F41" s="8">
        <v>45200</v>
      </c>
      <c r="H41" s="9">
        <f t="shared" si="0"/>
        <v>45200</v>
      </c>
      <c r="I41" s="6" t="s">
        <v>0</v>
      </c>
      <c r="J41" s="6" t="s">
        <v>0</v>
      </c>
      <c r="L41" s="8">
        <v>45200</v>
      </c>
      <c r="M41" s="8">
        <v>45200</v>
      </c>
      <c r="N41" s="8"/>
      <c r="O41" s="6" t="s">
        <v>0</v>
      </c>
      <c r="P41" s="6" t="s">
        <v>0</v>
      </c>
      <c r="R41" s="6" t="s">
        <v>0</v>
      </c>
      <c r="S41" s="6" t="s">
        <v>0</v>
      </c>
      <c r="U41" s="6" t="s">
        <v>0</v>
      </c>
      <c r="V41" s="6" t="s">
        <v>0</v>
      </c>
    </row>
    <row r="42" spans="1:22" x14ac:dyDescent="0.3">
      <c r="A42" s="11" t="s">
        <v>62</v>
      </c>
      <c r="B42" s="6" t="s">
        <v>64</v>
      </c>
      <c r="C42" s="7">
        <v>128.16349824289301</v>
      </c>
      <c r="D42" s="6" t="s">
        <v>65</v>
      </c>
      <c r="E42" s="8">
        <v>33.75</v>
      </c>
      <c r="F42" s="8">
        <v>4325.518065697639</v>
      </c>
      <c r="H42" s="9">
        <f t="shared" si="0"/>
        <v>4325.518065697639</v>
      </c>
      <c r="I42" s="6" t="s">
        <v>0</v>
      </c>
      <c r="J42" s="6" t="s">
        <v>0</v>
      </c>
      <c r="L42" s="6" t="s">
        <v>0</v>
      </c>
      <c r="M42" s="6" t="s">
        <v>0</v>
      </c>
      <c r="O42" s="8">
        <v>33.75</v>
      </c>
      <c r="P42" s="8">
        <v>4325.518065697639</v>
      </c>
      <c r="Q42" s="8"/>
      <c r="R42" s="6" t="s">
        <v>0</v>
      </c>
      <c r="S42" s="6" t="s">
        <v>0</v>
      </c>
      <c r="U42" s="6" t="s">
        <v>0</v>
      </c>
      <c r="V42" s="6" t="s">
        <v>0</v>
      </c>
    </row>
    <row r="43" spans="1:22" x14ac:dyDescent="0.3">
      <c r="A43" s="11" t="s">
        <v>66</v>
      </c>
      <c r="B43" s="6" t="s">
        <v>67</v>
      </c>
      <c r="C43" s="7">
        <v>523.37901716416923</v>
      </c>
      <c r="D43" s="6" t="s">
        <v>47</v>
      </c>
      <c r="E43" s="8">
        <v>12.5</v>
      </c>
      <c r="F43" s="8">
        <v>6542.237714552115</v>
      </c>
      <c r="H43" s="9">
        <f t="shared" si="0"/>
        <v>6542.237714552115</v>
      </c>
      <c r="I43" s="6" t="s">
        <v>0</v>
      </c>
      <c r="J43" s="6" t="s">
        <v>0</v>
      </c>
      <c r="L43" s="6" t="s">
        <v>0</v>
      </c>
      <c r="M43" s="6" t="s">
        <v>0</v>
      </c>
      <c r="O43" s="8">
        <v>12.5</v>
      </c>
      <c r="P43" s="8">
        <v>6542.237714552115</v>
      </c>
      <c r="Q43" s="8"/>
      <c r="R43" s="6" t="s">
        <v>0</v>
      </c>
      <c r="S43" s="6" t="s">
        <v>0</v>
      </c>
      <c r="U43" s="6" t="s">
        <v>0</v>
      </c>
      <c r="V43" s="6" t="s">
        <v>0</v>
      </c>
    </row>
    <row r="44" spans="1:22" x14ac:dyDescent="0.3">
      <c r="A44" s="11" t="s">
        <v>66</v>
      </c>
      <c r="B44" s="6" t="s">
        <v>68</v>
      </c>
      <c r="C44" s="7">
        <v>523.37901716416923</v>
      </c>
      <c r="D44" s="6" t="s">
        <v>47</v>
      </c>
      <c r="E44" s="8">
        <v>4.5</v>
      </c>
      <c r="F44" s="8">
        <v>2355.2055772387616</v>
      </c>
      <c r="H44" s="9">
        <f t="shared" si="0"/>
        <v>2355.2055772387616</v>
      </c>
      <c r="I44" s="6" t="s">
        <v>0</v>
      </c>
      <c r="J44" s="6" t="s">
        <v>0</v>
      </c>
      <c r="L44" s="6" t="s">
        <v>0</v>
      </c>
      <c r="M44" s="6" t="s">
        <v>0</v>
      </c>
      <c r="O44" s="8">
        <v>4.5</v>
      </c>
      <c r="P44" s="8">
        <v>2355.2055772387616</v>
      </c>
      <c r="Q44" s="8"/>
      <c r="R44" s="6" t="s">
        <v>0</v>
      </c>
      <c r="S44" s="6" t="s">
        <v>0</v>
      </c>
      <c r="U44" s="6" t="s">
        <v>0</v>
      </c>
      <c r="V44" s="6" t="s">
        <v>0</v>
      </c>
    </row>
    <row r="45" spans="1:22" x14ac:dyDescent="0.3">
      <c r="A45" s="11" t="s">
        <v>66</v>
      </c>
      <c r="B45" s="6" t="s">
        <v>69</v>
      </c>
      <c r="C45" s="7">
        <v>11</v>
      </c>
      <c r="D45" s="6" t="s">
        <v>45</v>
      </c>
      <c r="E45" s="8">
        <v>25</v>
      </c>
      <c r="F45" s="8">
        <v>275</v>
      </c>
      <c r="H45" s="9">
        <f t="shared" si="0"/>
        <v>275</v>
      </c>
      <c r="I45" s="6" t="s">
        <v>0</v>
      </c>
      <c r="J45" s="6" t="s">
        <v>0</v>
      </c>
      <c r="L45" s="6" t="s">
        <v>0</v>
      </c>
      <c r="M45" s="6" t="s">
        <v>0</v>
      </c>
      <c r="O45" s="8">
        <v>25</v>
      </c>
      <c r="P45" s="8">
        <v>275</v>
      </c>
      <c r="Q45" s="8"/>
      <c r="R45" s="6" t="s">
        <v>0</v>
      </c>
      <c r="S45" s="6" t="s">
        <v>0</v>
      </c>
      <c r="U45" s="6" t="s">
        <v>0</v>
      </c>
      <c r="V45" s="6" t="s">
        <v>0</v>
      </c>
    </row>
    <row r="46" spans="1:22" x14ac:dyDescent="0.3">
      <c r="A46" s="11" t="s">
        <v>70</v>
      </c>
      <c r="B46" s="6" t="s">
        <v>71</v>
      </c>
      <c r="C46" s="7">
        <v>1</v>
      </c>
      <c r="D46" s="6" t="s">
        <v>4</v>
      </c>
      <c r="E46" s="8">
        <v>30000</v>
      </c>
      <c r="F46" s="8">
        <v>30000</v>
      </c>
      <c r="H46" s="9">
        <f t="shared" si="0"/>
        <v>30000</v>
      </c>
      <c r="I46" s="6" t="s">
        <v>0</v>
      </c>
      <c r="J46" s="6" t="s">
        <v>0</v>
      </c>
      <c r="L46" s="6" t="s">
        <v>0</v>
      </c>
      <c r="M46" s="6" t="s">
        <v>0</v>
      </c>
      <c r="O46" s="8">
        <v>30000</v>
      </c>
      <c r="P46" s="8">
        <v>30000</v>
      </c>
      <c r="Q46" s="8"/>
      <c r="R46" s="6" t="s">
        <v>0</v>
      </c>
      <c r="S46" s="6" t="s">
        <v>0</v>
      </c>
      <c r="U46" s="6" t="s">
        <v>0</v>
      </c>
      <c r="V46" s="6" t="s">
        <v>0</v>
      </c>
    </row>
    <row r="47" spans="1:22" x14ac:dyDescent="0.3">
      <c r="A47" s="11" t="s">
        <v>72</v>
      </c>
      <c r="B47" s="6" t="s">
        <v>73</v>
      </c>
      <c r="C47" s="7">
        <v>1</v>
      </c>
      <c r="D47" s="6" t="s">
        <v>4</v>
      </c>
      <c r="E47" s="8">
        <v>1800</v>
      </c>
      <c r="F47" s="8">
        <v>1800</v>
      </c>
      <c r="H47" s="9">
        <f t="shared" si="0"/>
        <v>1800</v>
      </c>
      <c r="I47" s="6" t="s">
        <v>0</v>
      </c>
      <c r="J47" s="6" t="s">
        <v>0</v>
      </c>
      <c r="L47" s="6" t="s">
        <v>0</v>
      </c>
      <c r="M47" s="6" t="s">
        <v>0</v>
      </c>
      <c r="O47" s="8">
        <v>1800</v>
      </c>
      <c r="P47" s="8">
        <v>1800</v>
      </c>
      <c r="Q47" s="8"/>
      <c r="R47" s="6" t="s">
        <v>0</v>
      </c>
      <c r="S47" s="6" t="s">
        <v>0</v>
      </c>
      <c r="U47" s="6" t="s">
        <v>0</v>
      </c>
      <c r="V47" s="6" t="s">
        <v>0</v>
      </c>
    </row>
    <row r="48" spans="1:22" x14ac:dyDescent="0.3">
      <c r="A48" s="11" t="s">
        <v>72</v>
      </c>
      <c r="B48" s="6" t="s">
        <v>74</v>
      </c>
      <c r="C48" s="7">
        <v>21</v>
      </c>
      <c r="D48" s="6" t="s">
        <v>45</v>
      </c>
      <c r="E48" s="8">
        <v>45</v>
      </c>
      <c r="F48" s="8">
        <v>945</v>
      </c>
      <c r="H48" s="9">
        <f t="shared" si="0"/>
        <v>945</v>
      </c>
      <c r="I48" s="6" t="s">
        <v>0</v>
      </c>
      <c r="J48" s="6" t="s">
        <v>0</v>
      </c>
      <c r="L48" s="6" t="s">
        <v>0</v>
      </c>
      <c r="M48" s="6" t="s">
        <v>0</v>
      </c>
      <c r="O48" s="8">
        <v>45</v>
      </c>
      <c r="P48" s="8">
        <v>945</v>
      </c>
      <c r="Q48" s="8"/>
      <c r="R48" s="6" t="s">
        <v>0</v>
      </c>
      <c r="S48" s="6" t="s">
        <v>0</v>
      </c>
      <c r="U48" s="6" t="s">
        <v>0</v>
      </c>
      <c r="V48" s="6" t="s">
        <v>0</v>
      </c>
    </row>
    <row r="49" spans="1:22" x14ac:dyDescent="0.3">
      <c r="A49" s="11" t="s">
        <v>72</v>
      </c>
      <c r="B49" s="6" t="s">
        <v>75</v>
      </c>
      <c r="C49" s="7">
        <v>1</v>
      </c>
      <c r="D49" s="6" t="s">
        <v>4</v>
      </c>
      <c r="E49" s="8">
        <v>17253</v>
      </c>
      <c r="F49" s="8">
        <v>17253</v>
      </c>
      <c r="H49" s="9">
        <f t="shared" si="0"/>
        <v>17253</v>
      </c>
      <c r="I49" s="6" t="s">
        <v>0</v>
      </c>
      <c r="J49" s="6" t="s">
        <v>0</v>
      </c>
      <c r="L49" s="8">
        <v>17253</v>
      </c>
      <c r="M49" s="8">
        <v>17253</v>
      </c>
      <c r="N49" s="8"/>
      <c r="O49" s="6" t="s">
        <v>0</v>
      </c>
      <c r="P49" s="6" t="s">
        <v>0</v>
      </c>
      <c r="R49" s="6" t="s">
        <v>0</v>
      </c>
      <c r="S49" s="6" t="s">
        <v>0</v>
      </c>
      <c r="U49" s="6" t="s">
        <v>0</v>
      </c>
      <c r="V49" s="6" t="s">
        <v>0</v>
      </c>
    </row>
    <row r="50" spans="1:22" x14ac:dyDescent="0.3">
      <c r="A50" s="11" t="s">
        <v>72</v>
      </c>
      <c r="B50" s="6" t="s">
        <v>76</v>
      </c>
      <c r="C50" s="7">
        <v>1</v>
      </c>
      <c r="D50" s="6" t="s">
        <v>4</v>
      </c>
      <c r="E50" s="8">
        <v>1600</v>
      </c>
      <c r="F50" s="8">
        <v>1600</v>
      </c>
      <c r="H50" s="9">
        <f t="shared" si="0"/>
        <v>1600</v>
      </c>
      <c r="I50" s="6" t="s">
        <v>0</v>
      </c>
      <c r="J50" s="6" t="s">
        <v>0</v>
      </c>
      <c r="L50" s="6" t="s">
        <v>0</v>
      </c>
      <c r="M50" s="6" t="s">
        <v>0</v>
      </c>
      <c r="O50" s="8">
        <v>1600</v>
      </c>
      <c r="P50" s="8">
        <v>1600</v>
      </c>
      <c r="Q50" s="8"/>
      <c r="R50" s="6" t="s">
        <v>0</v>
      </c>
      <c r="S50" s="6" t="s">
        <v>0</v>
      </c>
      <c r="U50" s="6" t="s">
        <v>0</v>
      </c>
      <c r="V50" s="6" t="s">
        <v>0</v>
      </c>
    </row>
    <row r="51" spans="1:22" x14ac:dyDescent="0.3">
      <c r="A51" s="11" t="s">
        <v>72</v>
      </c>
      <c r="B51" s="6" t="s">
        <v>76</v>
      </c>
      <c r="C51" s="7">
        <v>1</v>
      </c>
      <c r="D51" s="6" t="s">
        <v>4</v>
      </c>
      <c r="E51" s="8">
        <v>800</v>
      </c>
      <c r="F51" s="8">
        <v>800</v>
      </c>
      <c r="H51" s="9">
        <f t="shared" si="0"/>
        <v>800</v>
      </c>
      <c r="I51" s="6" t="s">
        <v>0</v>
      </c>
      <c r="J51" s="6" t="s">
        <v>0</v>
      </c>
      <c r="L51" s="6" t="s">
        <v>0</v>
      </c>
      <c r="M51" s="6" t="s">
        <v>0</v>
      </c>
      <c r="O51" s="8">
        <v>800</v>
      </c>
      <c r="P51" s="8">
        <v>800</v>
      </c>
      <c r="Q51" s="8"/>
      <c r="R51" s="6" t="s">
        <v>0</v>
      </c>
      <c r="S51" s="6" t="s">
        <v>0</v>
      </c>
      <c r="U51" s="6" t="s">
        <v>0</v>
      </c>
      <c r="V51" s="6" t="s">
        <v>0</v>
      </c>
    </row>
    <row r="52" spans="1:22" x14ac:dyDescent="0.3">
      <c r="A52" s="11" t="s">
        <v>77</v>
      </c>
      <c r="B52" s="6" t="s">
        <v>78</v>
      </c>
      <c r="C52" s="7">
        <v>130</v>
      </c>
      <c r="D52" s="6" t="s">
        <v>47</v>
      </c>
      <c r="E52" s="8">
        <v>17</v>
      </c>
      <c r="F52" s="8">
        <v>2210</v>
      </c>
      <c r="H52" s="9">
        <f t="shared" si="0"/>
        <v>2210</v>
      </c>
      <c r="I52" s="6" t="s">
        <v>0</v>
      </c>
      <c r="J52" s="6" t="s">
        <v>0</v>
      </c>
      <c r="L52" s="6" t="s">
        <v>0</v>
      </c>
      <c r="M52" s="6" t="s">
        <v>0</v>
      </c>
      <c r="O52" s="8">
        <v>17</v>
      </c>
      <c r="P52" s="8">
        <v>2210</v>
      </c>
      <c r="Q52" s="8"/>
      <c r="R52" s="6" t="s">
        <v>0</v>
      </c>
      <c r="S52" s="6" t="s">
        <v>0</v>
      </c>
      <c r="U52" s="6" t="s">
        <v>0</v>
      </c>
      <c r="V52" s="6" t="s">
        <v>0</v>
      </c>
    </row>
    <row r="53" spans="1:22" x14ac:dyDescent="0.3">
      <c r="A53" s="11" t="s">
        <v>77</v>
      </c>
      <c r="B53" s="6" t="s">
        <v>79</v>
      </c>
      <c r="C53" s="7">
        <v>133.05762365466899</v>
      </c>
      <c r="D53" s="6" t="s">
        <v>47</v>
      </c>
      <c r="E53" s="8">
        <v>13.476680000000002</v>
      </c>
      <c r="F53" s="8">
        <v>1793.1750155544046</v>
      </c>
      <c r="G53" s="7"/>
      <c r="H53" s="9">
        <f t="shared" si="0"/>
        <v>1793.1750155544046</v>
      </c>
      <c r="I53" s="8">
        <v>6.3460000000000001</v>
      </c>
      <c r="J53" s="8">
        <v>844.38367971252944</v>
      </c>
      <c r="K53" s="8"/>
      <c r="L53" s="8">
        <v>7.1306800000000017</v>
      </c>
      <c r="M53" s="8">
        <v>948.79133584187525</v>
      </c>
      <c r="N53" s="8"/>
      <c r="O53" s="6" t="s">
        <v>0</v>
      </c>
      <c r="P53" s="6" t="s">
        <v>0</v>
      </c>
      <c r="R53" s="6" t="s">
        <v>0</v>
      </c>
      <c r="S53" s="6" t="s">
        <v>0</v>
      </c>
      <c r="U53" s="6" t="s">
        <v>0</v>
      </c>
      <c r="V53" s="6" t="s">
        <v>0</v>
      </c>
    </row>
    <row r="54" spans="1:22" x14ac:dyDescent="0.3">
      <c r="A54" s="11" t="s">
        <v>77</v>
      </c>
      <c r="B54" s="6" t="s">
        <v>80</v>
      </c>
      <c r="C54" s="7">
        <v>99.793217741001754</v>
      </c>
      <c r="D54" s="6" t="s">
        <v>47</v>
      </c>
      <c r="E54" s="8">
        <v>10.44</v>
      </c>
      <c r="F54" s="8">
        <v>1041.8411932160584</v>
      </c>
      <c r="G54" s="7"/>
      <c r="H54" s="9">
        <f t="shared" si="0"/>
        <v>1041.8411932160584</v>
      </c>
      <c r="I54" s="8">
        <v>6.3460000000000001</v>
      </c>
      <c r="J54" s="8">
        <v>633.28775978439717</v>
      </c>
      <c r="K54" s="8"/>
      <c r="L54" s="8">
        <v>4.0940000000000003</v>
      </c>
      <c r="M54" s="8">
        <v>408.55343343166118</v>
      </c>
      <c r="N54" s="8"/>
      <c r="O54" s="6" t="s">
        <v>0</v>
      </c>
      <c r="P54" s="6" t="s">
        <v>0</v>
      </c>
      <c r="R54" s="6" t="s">
        <v>0</v>
      </c>
      <c r="S54" s="6" t="s">
        <v>0</v>
      </c>
      <c r="U54" s="6" t="s">
        <v>0</v>
      </c>
      <c r="V54" s="6" t="s">
        <v>0</v>
      </c>
    </row>
    <row r="55" spans="1:22" x14ac:dyDescent="0.3">
      <c r="A55" s="11" t="s">
        <v>77</v>
      </c>
      <c r="B55" s="6" t="s">
        <v>81</v>
      </c>
      <c r="C55" s="7">
        <v>66.528811827334508</v>
      </c>
      <c r="D55" s="6" t="s">
        <v>65</v>
      </c>
      <c r="E55" s="8">
        <v>19.350000000000001</v>
      </c>
      <c r="F55" s="8">
        <v>1287.3325088589227</v>
      </c>
      <c r="G55" s="7"/>
      <c r="H55" s="9">
        <f t="shared" si="0"/>
        <v>1287.3325088589227</v>
      </c>
      <c r="I55" s="8">
        <v>11.4</v>
      </c>
      <c r="J55" s="8">
        <v>758.42845483161341</v>
      </c>
      <c r="K55" s="8"/>
      <c r="L55" s="8">
        <v>7.9499999999999984</v>
      </c>
      <c r="M55" s="8">
        <v>528.90405402730926</v>
      </c>
      <c r="N55" s="8"/>
      <c r="O55" s="6" t="s">
        <v>0</v>
      </c>
      <c r="P55" s="6" t="s">
        <v>0</v>
      </c>
      <c r="R55" s="6" t="s">
        <v>0</v>
      </c>
      <c r="S55" s="6" t="s">
        <v>0</v>
      </c>
      <c r="U55" s="6" t="s">
        <v>0</v>
      </c>
      <c r="V55" s="6" t="s">
        <v>0</v>
      </c>
    </row>
    <row r="56" spans="1:22" x14ac:dyDescent="0.3">
      <c r="A56" s="11" t="s">
        <v>77</v>
      </c>
      <c r="B56" s="6" t="s">
        <v>82</v>
      </c>
      <c r="C56" s="7">
        <v>297.63</v>
      </c>
      <c r="D56" s="6" t="s">
        <v>47</v>
      </c>
      <c r="E56" s="8">
        <v>7</v>
      </c>
      <c r="F56" s="8">
        <v>2083.41</v>
      </c>
      <c r="H56" s="9">
        <f t="shared" si="0"/>
        <v>2083.41</v>
      </c>
      <c r="I56" s="6" t="s">
        <v>0</v>
      </c>
      <c r="J56" s="6" t="s">
        <v>0</v>
      </c>
      <c r="L56" s="6" t="s">
        <v>0</v>
      </c>
      <c r="M56" s="6" t="s">
        <v>0</v>
      </c>
      <c r="O56" s="8">
        <v>7</v>
      </c>
      <c r="P56" s="8">
        <v>2083.41</v>
      </c>
      <c r="Q56" s="8"/>
      <c r="R56" s="6" t="s">
        <v>0</v>
      </c>
      <c r="S56" s="6" t="s">
        <v>0</v>
      </c>
      <c r="U56" s="6" t="s">
        <v>0</v>
      </c>
      <c r="V56" s="6" t="s">
        <v>0</v>
      </c>
    </row>
    <row r="57" spans="1:22" x14ac:dyDescent="0.3">
      <c r="A57" s="11" t="s">
        <v>83</v>
      </c>
      <c r="B57" s="6" t="s">
        <v>84</v>
      </c>
      <c r="C57" s="7">
        <v>66.528811827334508</v>
      </c>
      <c r="D57" s="6" t="s">
        <v>65</v>
      </c>
      <c r="E57" s="8">
        <v>12.75</v>
      </c>
      <c r="F57" s="8">
        <v>848.24235079851496</v>
      </c>
      <c r="G57" s="7"/>
      <c r="H57" s="9">
        <f t="shared" si="0"/>
        <v>848.24235079851496</v>
      </c>
      <c r="I57" s="8">
        <v>4.75</v>
      </c>
      <c r="J57" s="8">
        <v>316.0118561798389</v>
      </c>
      <c r="K57" s="8"/>
      <c r="L57" s="8">
        <v>8</v>
      </c>
      <c r="M57" s="8">
        <v>532.23049461867606</v>
      </c>
      <c r="N57" s="8"/>
      <c r="O57" s="6" t="s">
        <v>0</v>
      </c>
      <c r="P57" s="6" t="s">
        <v>0</v>
      </c>
      <c r="R57" s="6" t="s">
        <v>0</v>
      </c>
      <c r="S57" s="6" t="s">
        <v>0</v>
      </c>
      <c r="U57" s="6" t="s">
        <v>0</v>
      </c>
      <c r="V57" s="6" t="s">
        <v>0</v>
      </c>
    </row>
    <row r="58" spans="1:22" x14ac:dyDescent="0.3">
      <c r="A58" s="11" t="s">
        <v>83</v>
      </c>
      <c r="B58" s="6" t="s">
        <v>85</v>
      </c>
      <c r="C58" s="7">
        <v>260.31000000000012</v>
      </c>
      <c r="D58" s="6" t="s">
        <v>47</v>
      </c>
      <c r="E58" s="8">
        <v>30.179999999999996</v>
      </c>
      <c r="F58" s="8">
        <v>7856.1558000000023</v>
      </c>
      <c r="G58" s="7"/>
      <c r="H58" s="9">
        <f t="shared" si="0"/>
        <v>7856.1558000000023</v>
      </c>
      <c r="I58" s="8">
        <v>26.979999999999997</v>
      </c>
      <c r="J58" s="8">
        <v>7023.1638000000021</v>
      </c>
      <c r="K58" s="8"/>
      <c r="L58" s="6" t="s">
        <v>0</v>
      </c>
      <c r="M58" s="6" t="s">
        <v>0</v>
      </c>
      <c r="O58" s="6" t="s">
        <v>0</v>
      </c>
      <c r="P58" s="6" t="s">
        <v>0</v>
      </c>
      <c r="R58" s="8">
        <v>3.2</v>
      </c>
      <c r="S58" s="8">
        <v>832.99200000000042</v>
      </c>
      <c r="T58" s="8"/>
      <c r="U58" s="6" t="s">
        <v>0</v>
      </c>
      <c r="V58" s="6" t="s">
        <v>0</v>
      </c>
    </row>
    <row r="59" spans="1:22" x14ac:dyDescent="0.3">
      <c r="A59" s="11" t="s">
        <v>83</v>
      </c>
      <c r="B59" s="6" t="s">
        <v>86</v>
      </c>
      <c r="C59" s="7">
        <v>9565.7389999999996</v>
      </c>
      <c r="D59" s="6" t="s">
        <v>87</v>
      </c>
      <c r="E59" s="8">
        <v>1.6164000000000001</v>
      </c>
      <c r="F59" s="8">
        <v>15462.060519599998</v>
      </c>
      <c r="G59" s="7"/>
      <c r="H59" s="9">
        <f t="shared" si="0"/>
        <v>15462.060519599998</v>
      </c>
      <c r="I59" s="8">
        <v>0.83639999999999992</v>
      </c>
      <c r="J59" s="8">
        <v>8000.7840995999986</v>
      </c>
      <c r="K59" s="8"/>
      <c r="L59" s="8">
        <v>0.77999999999999992</v>
      </c>
      <c r="M59" s="8">
        <v>7461.2764199999992</v>
      </c>
      <c r="N59" s="8"/>
      <c r="O59" s="6" t="s">
        <v>0</v>
      </c>
      <c r="P59" s="6" t="s">
        <v>0</v>
      </c>
      <c r="R59" s="6" t="s">
        <v>0</v>
      </c>
      <c r="S59" s="6" t="s">
        <v>0</v>
      </c>
      <c r="U59" s="6" t="s">
        <v>0</v>
      </c>
      <c r="V59" s="6" t="s">
        <v>0</v>
      </c>
    </row>
    <row r="60" spans="1:22" x14ac:dyDescent="0.3">
      <c r="A60" s="11" t="s">
        <v>83</v>
      </c>
      <c r="B60" s="6" t="s">
        <v>88</v>
      </c>
      <c r="C60" s="7">
        <v>191.08449999999999</v>
      </c>
      <c r="D60" s="6" t="s">
        <v>39</v>
      </c>
      <c r="E60" s="8">
        <v>138.72</v>
      </c>
      <c r="F60" s="8">
        <v>26507.241839999999</v>
      </c>
      <c r="G60" s="7"/>
      <c r="H60" s="9">
        <f t="shared" si="0"/>
        <v>26507.241839999999</v>
      </c>
      <c r="I60" s="8">
        <v>14.82</v>
      </c>
      <c r="J60" s="8">
        <v>2831.8722899999998</v>
      </c>
      <c r="K60" s="8"/>
      <c r="L60" s="8">
        <v>123.9</v>
      </c>
      <c r="M60" s="8">
        <v>23675.369549999999</v>
      </c>
      <c r="N60" s="8"/>
      <c r="O60" s="6" t="s">
        <v>0</v>
      </c>
      <c r="P60" s="6" t="s">
        <v>0</v>
      </c>
      <c r="R60" s="6" t="s">
        <v>0</v>
      </c>
      <c r="S60" s="6" t="s">
        <v>0</v>
      </c>
      <c r="U60" s="6" t="s">
        <v>0</v>
      </c>
      <c r="V60" s="6" t="s">
        <v>0</v>
      </c>
    </row>
    <row r="61" spans="1:22" x14ac:dyDescent="0.3">
      <c r="A61" s="11" t="s">
        <v>83</v>
      </c>
      <c r="B61" s="6" t="s">
        <v>89</v>
      </c>
      <c r="C61" s="7">
        <v>3</v>
      </c>
      <c r="D61" s="6" t="s">
        <v>45</v>
      </c>
      <c r="E61" s="8">
        <v>12.600000000000001</v>
      </c>
      <c r="F61" s="8">
        <v>37.799999999999997</v>
      </c>
      <c r="G61" s="7"/>
      <c r="H61" s="9">
        <f t="shared" si="0"/>
        <v>37.799999999999997</v>
      </c>
      <c r="I61" s="8">
        <v>7.6000000000000005</v>
      </c>
      <c r="J61" s="8">
        <v>22.8</v>
      </c>
      <c r="K61" s="8"/>
      <c r="L61" s="8">
        <v>5</v>
      </c>
      <c r="M61" s="8">
        <v>15</v>
      </c>
      <c r="N61" s="8"/>
      <c r="O61" s="6" t="s">
        <v>0</v>
      </c>
      <c r="P61" s="6" t="s">
        <v>0</v>
      </c>
      <c r="R61" s="6" t="s">
        <v>0</v>
      </c>
      <c r="S61" s="6" t="s">
        <v>0</v>
      </c>
      <c r="U61" s="6" t="s">
        <v>0</v>
      </c>
      <c r="V61" s="6" t="s">
        <v>0</v>
      </c>
    </row>
    <row r="62" spans="1:22" x14ac:dyDescent="0.3">
      <c r="A62" s="11" t="s">
        <v>83</v>
      </c>
      <c r="B62" s="6" t="s">
        <v>90</v>
      </c>
      <c r="C62" s="7">
        <v>2.8</v>
      </c>
      <c r="D62" s="6" t="s">
        <v>47</v>
      </c>
      <c r="E62" s="8">
        <v>29.379999999999995</v>
      </c>
      <c r="F62" s="8">
        <v>82.263999999999982</v>
      </c>
      <c r="G62" s="7"/>
      <c r="H62" s="9">
        <f t="shared" si="0"/>
        <v>82.263999999999982</v>
      </c>
      <c r="I62" s="8">
        <v>26.979999999999997</v>
      </c>
      <c r="J62" s="8">
        <v>75.543999999999983</v>
      </c>
      <c r="K62" s="8"/>
      <c r="L62" s="6" t="s">
        <v>0</v>
      </c>
      <c r="M62" s="6" t="s">
        <v>0</v>
      </c>
      <c r="O62" s="6" t="s">
        <v>0</v>
      </c>
      <c r="P62" s="6" t="s">
        <v>0</v>
      </c>
      <c r="R62" s="8">
        <v>2.4000000000000004</v>
      </c>
      <c r="S62" s="8">
        <v>6.7200000000000006</v>
      </c>
      <c r="T62" s="8"/>
      <c r="U62" s="6" t="s">
        <v>0</v>
      </c>
      <c r="V62" s="6" t="s">
        <v>0</v>
      </c>
    </row>
    <row r="63" spans="1:22" x14ac:dyDescent="0.3">
      <c r="A63" s="11" t="s">
        <v>83</v>
      </c>
      <c r="B63" s="6" t="s">
        <v>91</v>
      </c>
      <c r="C63" s="7">
        <v>35</v>
      </c>
      <c r="D63" s="6" t="s">
        <v>87</v>
      </c>
      <c r="E63" s="8">
        <v>1.6164000000000001</v>
      </c>
      <c r="F63" s="8">
        <v>56.573999999999998</v>
      </c>
      <c r="G63" s="7"/>
      <c r="H63" s="9">
        <f t="shared" si="0"/>
        <v>56.573999999999998</v>
      </c>
      <c r="I63" s="8">
        <v>0.83639999999999992</v>
      </c>
      <c r="J63" s="8">
        <v>29.273999999999997</v>
      </c>
      <c r="K63" s="8"/>
      <c r="L63" s="8">
        <v>0.78</v>
      </c>
      <c r="M63" s="8">
        <v>27.3</v>
      </c>
      <c r="N63" s="8"/>
      <c r="O63" s="6" t="s">
        <v>0</v>
      </c>
      <c r="P63" s="6" t="s">
        <v>0</v>
      </c>
      <c r="R63" s="6" t="s">
        <v>0</v>
      </c>
      <c r="S63" s="6" t="s">
        <v>0</v>
      </c>
      <c r="U63" s="6" t="s">
        <v>0</v>
      </c>
      <c r="V63" s="6" t="s">
        <v>0</v>
      </c>
    </row>
    <row r="64" spans="1:22" x14ac:dyDescent="0.3">
      <c r="A64" s="11" t="s">
        <v>83</v>
      </c>
      <c r="B64" s="6" t="s">
        <v>92</v>
      </c>
      <c r="C64" s="7">
        <v>3</v>
      </c>
      <c r="D64" s="6" t="s">
        <v>45</v>
      </c>
      <c r="E64" s="8">
        <v>12.600000000000001</v>
      </c>
      <c r="F64" s="8">
        <v>37.799999999999997</v>
      </c>
      <c r="G64" s="7"/>
      <c r="H64" s="9">
        <f t="shared" si="0"/>
        <v>37.799999999999997</v>
      </c>
      <c r="I64" s="8">
        <v>7.6000000000000005</v>
      </c>
      <c r="J64" s="8">
        <v>22.8</v>
      </c>
      <c r="K64" s="8"/>
      <c r="L64" s="8">
        <v>5</v>
      </c>
      <c r="M64" s="8">
        <v>15</v>
      </c>
      <c r="N64" s="8"/>
      <c r="O64" s="6" t="s">
        <v>0</v>
      </c>
      <c r="P64" s="6" t="s">
        <v>0</v>
      </c>
      <c r="R64" s="6" t="s">
        <v>0</v>
      </c>
      <c r="S64" s="6" t="s">
        <v>0</v>
      </c>
      <c r="U64" s="6" t="s">
        <v>0</v>
      </c>
      <c r="V64" s="6" t="s">
        <v>0</v>
      </c>
    </row>
    <row r="65" spans="1:22" x14ac:dyDescent="0.3">
      <c r="A65" s="11" t="s">
        <v>83</v>
      </c>
      <c r="B65" s="6" t="s">
        <v>93</v>
      </c>
      <c r="C65" s="7">
        <v>0.7</v>
      </c>
      <c r="D65" s="6" t="s">
        <v>39</v>
      </c>
      <c r="E65" s="8">
        <v>138.72</v>
      </c>
      <c r="F65" s="8">
        <v>97.103999999999999</v>
      </c>
      <c r="G65" s="7"/>
      <c r="H65" s="9">
        <f t="shared" si="0"/>
        <v>97.103999999999999</v>
      </c>
      <c r="I65" s="8">
        <v>14.819999999999999</v>
      </c>
      <c r="J65" s="8">
        <v>10.373999999999999</v>
      </c>
      <c r="K65" s="8"/>
      <c r="L65" s="8">
        <v>123.90000000000002</v>
      </c>
      <c r="M65" s="8">
        <v>86.73</v>
      </c>
      <c r="N65" s="8"/>
      <c r="O65" s="6" t="s">
        <v>0</v>
      </c>
      <c r="P65" s="6" t="s">
        <v>0</v>
      </c>
      <c r="R65" s="6" t="s">
        <v>0</v>
      </c>
      <c r="S65" s="6" t="s">
        <v>0</v>
      </c>
      <c r="U65" s="6" t="s">
        <v>0</v>
      </c>
      <c r="V65" s="6" t="s">
        <v>0</v>
      </c>
    </row>
    <row r="66" spans="1:22" x14ac:dyDescent="0.3">
      <c r="A66" s="11" t="s">
        <v>83</v>
      </c>
      <c r="B66" s="6" t="s">
        <v>94</v>
      </c>
      <c r="C66" s="7">
        <v>1</v>
      </c>
      <c r="D66" s="6" t="s">
        <v>47</v>
      </c>
      <c r="E66" s="8">
        <v>12.100000000000001</v>
      </c>
      <c r="F66" s="8">
        <v>12.100000000000001</v>
      </c>
      <c r="G66" s="7"/>
      <c r="H66" s="9">
        <f t="shared" si="0"/>
        <v>12.100000000000001</v>
      </c>
      <c r="I66" s="8">
        <v>5.7</v>
      </c>
      <c r="J66" s="8">
        <v>5.7</v>
      </c>
      <c r="K66" s="8"/>
      <c r="L66" s="8">
        <v>6.4</v>
      </c>
      <c r="M66" s="8">
        <v>6.4</v>
      </c>
      <c r="N66" s="8"/>
      <c r="O66" s="6" t="s">
        <v>0</v>
      </c>
      <c r="P66" s="6" t="s">
        <v>0</v>
      </c>
      <c r="R66" s="6" t="s">
        <v>0</v>
      </c>
      <c r="S66" s="6" t="s">
        <v>0</v>
      </c>
      <c r="U66" s="6" t="s">
        <v>0</v>
      </c>
      <c r="V66" s="6" t="s">
        <v>0</v>
      </c>
    </row>
    <row r="67" spans="1:22" x14ac:dyDescent="0.3">
      <c r="A67" s="11" t="s">
        <v>83</v>
      </c>
      <c r="B67" s="6" t="s">
        <v>95</v>
      </c>
      <c r="C67" s="7">
        <v>2.8</v>
      </c>
      <c r="D67" s="6" t="s">
        <v>47</v>
      </c>
      <c r="E67" s="8">
        <v>12.878</v>
      </c>
      <c r="F67" s="8">
        <v>36.058399999999992</v>
      </c>
      <c r="G67" s="7"/>
      <c r="H67" s="9">
        <f t="shared" si="0"/>
        <v>36.058399999999992</v>
      </c>
      <c r="I67" s="8">
        <v>6.3460000000000001</v>
      </c>
      <c r="J67" s="8">
        <v>17.768799999999999</v>
      </c>
      <c r="K67" s="8"/>
      <c r="L67" s="8">
        <v>6.5319999999999991</v>
      </c>
      <c r="M67" s="8">
        <v>18.289599999999997</v>
      </c>
      <c r="N67" s="8"/>
      <c r="O67" s="6" t="s">
        <v>0</v>
      </c>
      <c r="P67" s="6" t="s">
        <v>0</v>
      </c>
      <c r="R67" s="6" t="s">
        <v>0</v>
      </c>
      <c r="S67" s="6" t="s">
        <v>0</v>
      </c>
      <c r="U67" s="6" t="s">
        <v>0</v>
      </c>
      <c r="V67" s="6" t="s">
        <v>0</v>
      </c>
    </row>
    <row r="68" spans="1:22" x14ac:dyDescent="0.3">
      <c r="A68" s="11" t="s">
        <v>83</v>
      </c>
      <c r="B68" s="6" t="s">
        <v>96</v>
      </c>
      <c r="C68" s="7">
        <v>1</v>
      </c>
      <c r="D68" s="6" t="s">
        <v>47</v>
      </c>
      <c r="E68" s="8">
        <v>12.878</v>
      </c>
      <c r="F68" s="8">
        <v>12.878</v>
      </c>
      <c r="G68" s="7"/>
      <c r="H68" s="9">
        <f t="shared" ref="H68:H131" si="1">IF(AND(K68="",N68="",Q68="", T68="", W68=""), F68,K68+ N68+Q68+T68+W68)</f>
        <v>12.878</v>
      </c>
      <c r="I68" s="8">
        <v>6.3460000000000001</v>
      </c>
      <c r="J68" s="8">
        <v>6.3460000000000001</v>
      </c>
      <c r="K68" s="8"/>
      <c r="L68" s="8">
        <v>6.532</v>
      </c>
      <c r="M68" s="8">
        <v>6.532</v>
      </c>
      <c r="N68" s="8"/>
      <c r="O68" s="6" t="s">
        <v>0</v>
      </c>
      <c r="P68" s="6" t="s">
        <v>0</v>
      </c>
      <c r="R68" s="6" t="s">
        <v>0</v>
      </c>
      <c r="S68" s="6" t="s">
        <v>0</v>
      </c>
      <c r="U68" s="6" t="s">
        <v>0</v>
      </c>
      <c r="V68" s="6" t="s">
        <v>0</v>
      </c>
    </row>
    <row r="69" spans="1:22" x14ac:dyDescent="0.3">
      <c r="A69" s="11" t="s">
        <v>83</v>
      </c>
      <c r="B69" s="6" t="s">
        <v>97</v>
      </c>
      <c r="C69" s="7">
        <v>3</v>
      </c>
      <c r="D69" s="6" t="s">
        <v>45</v>
      </c>
      <c r="E69" s="8">
        <v>26.56</v>
      </c>
      <c r="F69" s="8">
        <v>79.680000000000007</v>
      </c>
      <c r="G69" s="7"/>
      <c r="H69" s="9">
        <f t="shared" si="1"/>
        <v>79.680000000000007</v>
      </c>
      <c r="I69" s="8">
        <v>4.5599999999999996</v>
      </c>
      <c r="J69" s="8">
        <v>13.68</v>
      </c>
      <c r="K69" s="8"/>
      <c r="L69" s="8">
        <v>22</v>
      </c>
      <c r="M69" s="8">
        <v>66</v>
      </c>
      <c r="N69" s="8"/>
      <c r="O69" s="6" t="s">
        <v>0</v>
      </c>
      <c r="P69" s="6" t="s">
        <v>0</v>
      </c>
      <c r="R69" s="6" t="s">
        <v>0</v>
      </c>
      <c r="S69" s="6" t="s">
        <v>0</v>
      </c>
      <c r="U69" s="6" t="s">
        <v>0</v>
      </c>
      <c r="V69" s="6" t="s">
        <v>0</v>
      </c>
    </row>
    <row r="70" spans="1:22" x14ac:dyDescent="0.3">
      <c r="A70" s="11" t="s">
        <v>83</v>
      </c>
      <c r="B70" s="6" t="s">
        <v>97</v>
      </c>
      <c r="C70" s="7">
        <v>1</v>
      </c>
      <c r="D70" s="6" t="s">
        <v>45</v>
      </c>
      <c r="E70" s="8">
        <v>37.56</v>
      </c>
      <c r="F70" s="8">
        <v>37.56</v>
      </c>
      <c r="G70" s="7"/>
      <c r="H70" s="9">
        <f t="shared" si="1"/>
        <v>37.56</v>
      </c>
      <c r="I70" s="8">
        <v>4.5599999999999996</v>
      </c>
      <c r="J70" s="8">
        <v>4.5599999999999996</v>
      </c>
      <c r="K70" s="8"/>
      <c r="L70" s="8">
        <v>33</v>
      </c>
      <c r="M70" s="8">
        <v>33</v>
      </c>
      <c r="N70" s="8"/>
      <c r="O70" s="6" t="s">
        <v>0</v>
      </c>
      <c r="P70" s="6" t="s">
        <v>0</v>
      </c>
      <c r="R70" s="6" t="s">
        <v>0</v>
      </c>
      <c r="S70" s="6" t="s">
        <v>0</v>
      </c>
      <c r="U70" s="6" t="s">
        <v>0</v>
      </c>
      <c r="V70" s="6" t="s">
        <v>0</v>
      </c>
    </row>
    <row r="71" spans="1:22" x14ac:dyDescent="0.3">
      <c r="A71" s="11" t="s">
        <v>83</v>
      </c>
      <c r="B71" s="6" t="s">
        <v>97</v>
      </c>
      <c r="C71" s="7">
        <v>51</v>
      </c>
      <c r="D71" s="6" t="s">
        <v>45</v>
      </c>
      <c r="E71" s="8">
        <v>26.56</v>
      </c>
      <c r="F71" s="8">
        <v>1354.56</v>
      </c>
      <c r="G71" s="7"/>
      <c r="H71" s="9">
        <f t="shared" si="1"/>
        <v>1354.56</v>
      </c>
      <c r="I71" s="8">
        <v>4.5599999999999996</v>
      </c>
      <c r="J71" s="8">
        <v>232.55999999999997</v>
      </c>
      <c r="K71" s="8"/>
      <c r="L71" s="8">
        <v>22</v>
      </c>
      <c r="M71" s="8">
        <v>1122</v>
      </c>
      <c r="N71" s="8"/>
      <c r="O71" s="6" t="s">
        <v>0</v>
      </c>
      <c r="P71" s="6" t="s">
        <v>0</v>
      </c>
      <c r="R71" s="6" t="s">
        <v>0</v>
      </c>
      <c r="S71" s="6" t="s">
        <v>0</v>
      </c>
      <c r="U71" s="6" t="s">
        <v>0</v>
      </c>
      <c r="V71" s="6" t="s">
        <v>0</v>
      </c>
    </row>
    <row r="72" spans="1:22" x14ac:dyDescent="0.3">
      <c r="A72" s="11" t="s">
        <v>83</v>
      </c>
      <c r="B72" s="6" t="s">
        <v>98</v>
      </c>
      <c r="C72" s="7">
        <v>6.6601428104735181</v>
      </c>
      <c r="D72" s="6" t="s">
        <v>65</v>
      </c>
      <c r="E72" s="8">
        <v>1.8151740524601289E-2</v>
      </c>
      <c r="F72" s="8">
        <v>0.12089318415250408</v>
      </c>
      <c r="H72" s="9">
        <f t="shared" si="1"/>
        <v>0.12089318415250408</v>
      </c>
      <c r="I72" s="6" t="s">
        <v>0</v>
      </c>
      <c r="J72" s="6" t="s">
        <v>0</v>
      </c>
      <c r="L72" s="6" t="s">
        <v>0</v>
      </c>
      <c r="M72" s="6" t="s">
        <v>0</v>
      </c>
      <c r="O72" s="6" t="s">
        <v>0</v>
      </c>
      <c r="P72" s="6" t="s">
        <v>0</v>
      </c>
      <c r="R72" s="6" t="s">
        <v>0</v>
      </c>
      <c r="S72" s="6" t="s">
        <v>0</v>
      </c>
      <c r="U72" s="8">
        <v>1.8151740524601289E-2</v>
      </c>
      <c r="V72" s="8">
        <v>0.12089318415250408</v>
      </c>
    </row>
    <row r="73" spans="1:22" x14ac:dyDescent="0.3">
      <c r="A73" s="11" t="s">
        <v>83</v>
      </c>
      <c r="B73" s="6" t="s">
        <v>99</v>
      </c>
      <c r="C73" s="7">
        <v>13.32028562094704</v>
      </c>
      <c r="D73" s="6" t="s">
        <v>47</v>
      </c>
      <c r="E73" s="8">
        <v>25.6</v>
      </c>
      <c r="F73" s="8">
        <v>340.99931189624419</v>
      </c>
      <c r="G73" s="7"/>
      <c r="H73" s="9">
        <f t="shared" si="1"/>
        <v>340.99931189624419</v>
      </c>
      <c r="I73" s="8">
        <v>19</v>
      </c>
      <c r="J73" s="8">
        <v>253.08542679799376</v>
      </c>
      <c r="K73" s="8"/>
      <c r="L73" s="6" t="s">
        <v>0</v>
      </c>
      <c r="M73" s="6" t="s">
        <v>0</v>
      </c>
      <c r="O73" s="6" t="s">
        <v>0</v>
      </c>
      <c r="P73" s="6" t="s">
        <v>0</v>
      </c>
      <c r="R73" s="8">
        <v>6.6</v>
      </c>
      <c r="S73" s="8">
        <v>87.913885098250461</v>
      </c>
      <c r="T73" s="8"/>
      <c r="U73" s="6" t="s">
        <v>0</v>
      </c>
      <c r="V73" s="6" t="s">
        <v>0</v>
      </c>
    </row>
    <row r="74" spans="1:22" x14ac:dyDescent="0.3">
      <c r="A74" s="11" t="s">
        <v>83</v>
      </c>
      <c r="B74" s="6" t="s">
        <v>100</v>
      </c>
      <c r="C74" s="7">
        <v>176.41386276382261</v>
      </c>
      <c r="D74" s="6" t="s">
        <v>87</v>
      </c>
      <c r="E74" s="8">
        <v>1.6164000000000001</v>
      </c>
      <c r="F74" s="8">
        <v>285.15536777144285</v>
      </c>
      <c r="G74" s="7"/>
      <c r="H74" s="9">
        <f t="shared" si="1"/>
        <v>285.15536777144285</v>
      </c>
      <c r="I74" s="8">
        <v>0.83639999999999992</v>
      </c>
      <c r="J74" s="8">
        <v>147.55255481566121</v>
      </c>
      <c r="K74" s="8"/>
      <c r="L74" s="8">
        <v>0.78</v>
      </c>
      <c r="M74" s="8">
        <v>137.60281295578164</v>
      </c>
      <c r="N74" s="8"/>
      <c r="O74" s="6" t="s">
        <v>0</v>
      </c>
      <c r="P74" s="6" t="s">
        <v>0</v>
      </c>
      <c r="R74" s="6" t="s">
        <v>0</v>
      </c>
      <c r="S74" s="6" t="s">
        <v>0</v>
      </c>
      <c r="U74" s="6" t="s">
        <v>0</v>
      </c>
      <c r="V74" s="6" t="s">
        <v>0</v>
      </c>
    </row>
    <row r="75" spans="1:22" x14ac:dyDescent="0.3">
      <c r="A75" s="11" t="s">
        <v>83</v>
      </c>
      <c r="B75" s="6" t="s">
        <v>101</v>
      </c>
      <c r="C75" s="7">
        <v>3.7296799738651711</v>
      </c>
      <c r="D75" s="6" t="s">
        <v>39</v>
      </c>
      <c r="E75" s="8">
        <v>159.72</v>
      </c>
      <c r="F75" s="8">
        <v>595.70448542574513</v>
      </c>
      <c r="G75" s="7"/>
      <c r="H75" s="9">
        <f t="shared" si="1"/>
        <v>595.70448542574513</v>
      </c>
      <c r="I75" s="8">
        <v>14.82</v>
      </c>
      <c r="J75" s="8">
        <v>55.27385721268184</v>
      </c>
      <c r="K75" s="8"/>
      <c r="L75" s="8">
        <v>144.9</v>
      </c>
      <c r="M75" s="8">
        <v>540.4306282130633</v>
      </c>
      <c r="N75" s="8"/>
      <c r="O75" s="6" t="s">
        <v>0</v>
      </c>
      <c r="P75" s="6" t="s">
        <v>0</v>
      </c>
      <c r="R75" s="6" t="s">
        <v>0</v>
      </c>
      <c r="S75" s="6" t="s">
        <v>0</v>
      </c>
      <c r="U75" s="6" t="s">
        <v>0</v>
      </c>
      <c r="V75" s="6" t="s">
        <v>0</v>
      </c>
    </row>
    <row r="76" spans="1:22" x14ac:dyDescent="0.3">
      <c r="A76" s="11" t="s">
        <v>83</v>
      </c>
      <c r="B76" s="6" t="s">
        <v>102</v>
      </c>
      <c r="C76" s="7">
        <v>113.1323448705339</v>
      </c>
      <c r="D76" s="6" t="s">
        <v>39</v>
      </c>
      <c r="E76" s="8">
        <v>138.72</v>
      </c>
      <c r="F76" s="8">
        <v>15693.718880440461</v>
      </c>
      <c r="G76" s="7"/>
      <c r="H76" s="9">
        <f t="shared" si="1"/>
        <v>15693.718880440461</v>
      </c>
      <c r="I76" s="8">
        <v>14.82</v>
      </c>
      <c r="J76" s="8">
        <v>1676.6213509813124</v>
      </c>
      <c r="K76" s="8"/>
      <c r="L76" s="8">
        <v>123.89999999999999</v>
      </c>
      <c r="M76" s="8">
        <v>14017.09752945915</v>
      </c>
      <c r="N76" s="8"/>
      <c r="O76" s="6" t="s">
        <v>0</v>
      </c>
      <c r="P76" s="6" t="s">
        <v>0</v>
      </c>
      <c r="R76" s="6" t="s">
        <v>0</v>
      </c>
      <c r="S76" s="6" t="s">
        <v>0</v>
      </c>
      <c r="U76" s="6" t="s">
        <v>0</v>
      </c>
      <c r="V76" s="6" t="s">
        <v>0</v>
      </c>
    </row>
    <row r="77" spans="1:22" x14ac:dyDescent="0.3">
      <c r="A77" s="11" t="s">
        <v>83</v>
      </c>
      <c r="B77" s="6" t="s">
        <v>103</v>
      </c>
      <c r="C77" s="7">
        <v>9583.0741117944217</v>
      </c>
      <c r="D77" s="6" t="s">
        <v>87</v>
      </c>
      <c r="E77" s="8">
        <v>1.6164000000000001</v>
      </c>
      <c r="F77" s="8">
        <v>15490.080994304502</v>
      </c>
      <c r="G77" s="7"/>
      <c r="H77" s="9">
        <f t="shared" si="1"/>
        <v>15490.080994304502</v>
      </c>
      <c r="I77" s="8">
        <v>0.83639999999999992</v>
      </c>
      <c r="J77" s="8">
        <v>8015.2831871048538</v>
      </c>
      <c r="K77" s="8"/>
      <c r="L77" s="8">
        <v>0.77999999999999992</v>
      </c>
      <c r="M77" s="8">
        <v>7474.7978071996486</v>
      </c>
      <c r="N77" s="8"/>
      <c r="O77" s="6" t="s">
        <v>0</v>
      </c>
      <c r="P77" s="6" t="s">
        <v>0</v>
      </c>
      <c r="R77" s="6" t="s">
        <v>0</v>
      </c>
      <c r="S77" s="6" t="s">
        <v>0</v>
      </c>
      <c r="U77" s="6" t="s">
        <v>0</v>
      </c>
      <c r="V77" s="6" t="s">
        <v>0</v>
      </c>
    </row>
    <row r="78" spans="1:22" x14ac:dyDescent="0.3">
      <c r="A78" s="11" t="s">
        <v>83</v>
      </c>
      <c r="B78" s="6" t="s">
        <v>104</v>
      </c>
      <c r="C78" s="7">
        <v>943.59192628118876</v>
      </c>
      <c r="D78" s="6" t="s">
        <v>47</v>
      </c>
      <c r="E78" s="8">
        <v>27.755959363884287</v>
      </c>
      <c r="F78" s="8">
        <v>26190.299161949973</v>
      </c>
      <c r="G78" s="7"/>
      <c r="H78" s="9">
        <f t="shared" si="1"/>
        <v>26190.299161949973</v>
      </c>
      <c r="I78" s="8">
        <v>19</v>
      </c>
      <c r="J78" s="8">
        <v>17928.246599342587</v>
      </c>
      <c r="K78" s="8"/>
      <c r="L78" s="6" t="s">
        <v>0</v>
      </c>
      <c r="M78" s="6" t="s">
        <v>0</v>
      </c>
      <c r="O78" s="6" t="s">
        <v>0</v>
      </c>
      <c r="P78" s="6" t="s">
        <v>0</v>
      </c>
      <c r="R78" s="8">
        <v>8.7559593638842852</v>
      </c>
      <c r="S78" s="8">
        <v>8262.052562607385</v>
      </c>
      <c r="T78" s="8"/>
      <c r="U78" s="6" t="s">
        <v>0</v>
      </c>
      <c r="V78" s="6" t="s">
        <v>0</v>
      </c>
    </row>
    <row r="79" spans="1:22" x14ac:dyDescent="0.3">
      <c r="A79" s="11" t="s">
        <v>83</v>
      </c>
      <c r="B79" s="6" t="s">
        <v>105</v>
      </c>
      <c r="C79" s="7">
        <v>199.50815552229091</v>
      </c>
      <c r="D79" s="6" t="s">
        <v>47</v>
      </c>
      <c r="E79" s="8">
        <v>19.701518155631902</v>
      </c>
      <c r="F79" s="8">
        <v>3930.6135482190471</v>
      </c>
      <c r="G79" s="7"/>
      <c r="H79" s="9">
        <f t="shared" si="1"/>
        <v>3930.6135482190471</v>
      </c>
      <c r="I79" s="8">
        <v>4.9400000000000004</v>
      </c>
      <c r="J79" s="8">
        <v>985.5702882801171</v>
      </c>
      <c r="K79" s="8"/>
      <c r="L79" s="8">
        <v>14.761518155631901</v>
      </c>
      <c r="M79" s="8">
        <v>2945.0432599389301</v>
      </c>
      <c r="N79" s="8"/>
      <c r="O79" s="6" t="s">
        <v>0</v>
      </c>
      <c r="P79" s="6" t="s">
        <v>0</v>
      </c>
      <c r="R79" s="6" t="s">
        <v>0</v>
      </c>
      <c r="S79" s="6" t="s">
        <v>0</v>
      </c>
      <c r="U79" s="6" t="s">
        <v>0</v>
      </c>
      <c r="V79" s="6" t="s">
        <v>0</v>
      </c>
    </row>
    <row r="80" spans="1:22" x14ac:dyDescent="0.3">
      <c r="A80" s="11" t="s">
        <v>83</v>
      </c>
      <c r="B80" s="6" t="s">
        <v>106</v>
      </c>
      <c r="C80" s="7">
        <v>3.2639999999999998</v>
      </c>
      <c r="D80" s="6" t="s">
        <v>47</v>
      </c>
      <c r="E80" s="8">
        <v>41.829000000000001</v>
      </c>
      <c r="F80" s="8">
        <v>136.529856</v>
      </c>
      <c r="G80" s="7"/>
      <c r="H80" s="9">
        <f t="shared" si="1"/>
        <v>136.529856</v>
      </c>
      <c r="I80" s="8">
        <v>24.89</v>
      </c>
      <c r="J80" s="8">
        <v>81.240960000000001</v>
      </c>
      <c r="K80" s="8"/>
      <c r="L80" s="8">
        <v>16.939000000000004</v>
      </c>
      <c r="M80" s="8">
        <v>55.288896000000008</v>
      </c>
      <c r="N80" s="8"/>
      <c r="O80" s="6" t="s">
        <v>0</v>
      </c>
      <c r="P80" s="6" t="s">
        <v>0</v>
      </c>
      <c r="R80" s="6" t="s">
        <v>0</v>
      </c>
      <c r="S80" s="6" t="s">
        <v>0</v>
      </c>
      <c r="U80" s="6" t="s">
        <v>0</v>
      </c>
      <c r="V80" s="6" t="s">
        <v>0</v>
      </c>
    </row>
    <row r="81" spans="1:22" x14ac:dyDescent="0.3">
      <c r="A81" s="11" t="s">
        <v>83</v>
      </c>
      <c r="B81" s="6" t="s">
        <v>107</v>
      </c>
      <c r="C81" s="7">
        <v>19.584</v>
      </c>
      <c r="D81" s="6" t="s">
        <v>87</v>
      </c>
      <c r="E81" s="8">
        <v>1.6164000000000001</v>
      </c>
      <c r="F81" s="8">
        <v>31.655577599999997</v>
      </c>
      <c r="G81" s="7"/>
      <c r="H81" s="9">
        <f t="shared" si="1"/>
        <v>31.655577599999997</v>
      </c>
      <c r="I81" s="8">
        <v>0.83639999999999992</v>
      </c>
      <c r="J81" s="8">
        <v>16.380057599999997</v>
      </c>
      <c r="K81" s="8"/>
      <c r="L81" s="8">
        <v>0.78</v>
      </c>
      <c r="M81" s="8">
        <v>15.27552</v>
      </c>
      <c r="N81" s="8"/>
      <c r="O81" s="6" t="s">
        <v>0</v>
      </c>
      <c r="P81" s="6" t="s">
        <v>0</v>
      </c>
      <c r="R81" s="6" t="s">
        <v>0</v>
      </c>
      <c r="S81" s="6" t="s">
        <v>0</v>
      </c>
      <c r="U81" s="6" t="s">
        <v>0</v>
      </c>
      <c r="V81" s="6" t="s">
        <v>0</v>
      </c>
    </row>
    <row r="82" spans="1:22" x14ac:dyDescent="0.3">
      <c r="A82" s="11" t="s">
        <v>83</v>
      </c>
      <c r="B82" s="6" t="s">
        <v>108</v>
      </c>
      <c r="C82" s="7">
        <v>0.39167999999999997</v>
      </c>
      <c r="D82" s="6" t="s">
        <v>39</v>
      </c>
      <c r="E82" s="8">
        <v>142.14000000000001</v>
      </c>
      <c r="F82" s="8">
        <v>55.673395199999995</v>
      </c>
      <c r="G82" s="7"/>
      <c r="H82" s="9">
        <f t="shared" si="1"/>
        <v>55.673395199999995</v>
      </c>
      <c r="I82" s="8">
        <v>18.239999999999998</v>
      </c>
      <c r="J82" s="8">
        <v>7.1442431999999991</v>
      </c>
      <c r="K82" s="8"/>
      <c r="L82" s="8">
        <v>123.9</v>
      </c>
      <c r="M82" s="8">
        <v>48.529151999999996</v>
      </c>
      <c r="N82" s="8"/>
      <c r="O82" s="6" t="s">
        <v>0</v>
      </c>
      <c r="P82" s="6" t="s">
        <v>0</v>
      </c>
      <c r="R82" s="6" t="s">
        <v>0</v>
      </c>
      <c r="S82" s="6" t="s">
        <v>0</v>
      </c>
      <c r="U82" s="6" t="s">
        <v>0</v>
      </c>
      <c r="V82" s="6" t="s">
        <v>0</v>
      </c>
    </row>
    <row r="83" spans="1:22" x14ac:dyDescent="0.3">
      <c r="A83" s="11" t="s">
        <v>109</v>
      </c>
      <c r="B83" s="6" t="s">
        <v>110</v>
      </c>
      <c r="C83" s="7">
        <v>12</v>
      </c>
      <c r="D83" s="6" t="s">
        <v>45</v>
      </c>
      <c r="E83" s="8">
        <v>91.870999999999995</v>
      </c>
      <c r="F83" s="8">
        <v>1102.452</v>
      </c>
      <c r="G83" s="7"/>
      <c r="H83" s="9">
        <f t="shared" si="1"/>
        <v>1102.452</v>
      </c>
      <c r="I83" s="8">
        <v>64.599999999999994</v>
      </c>
      <c r="J83" s="8">
        <v>775.19999999999993</v>
      </c>
      <c r="K83" s="8"/>
      <c r="L83" s="8">
        <v>27.271000000000001</v>
      </c>
      <c r="M83" s="8">
        <v>327.25200000000001</v>
      </c>
      <c r="N83" s="8"/>
      <c r="O83" s="6" t="s">
        <v>0</v>
      </c>
      <c r="P83" s="6" t="s">
        <v>0</v>
      </c>
      <c r="R83" s="6" t="s">
        <v>0</v>
      </c>
      <c r="S83" s="6" t="s">
        <v>0</v>
      </c>
      <c r="U83" s="6" t="s">
        <v>0</v>
      </c>
      <c r="V83" s="6" t="s">
        <v>0</v>
      </c>
    </row>
    <row r="84" spans="1:22" x14ac:dyDescent="0.3">
      <c r="A84" s="11" t="s">
        <v>109</v>
      </c>
      <c r="B84" s="6" t="s">
        <v>111</v>
      </c>
      <c r="C84" s="7">
        <v>69.958688947995483</v>
      </c>
      <c r="D84" s="6" t="s">
        <v>47</v>
      </c>
      <c r="E84" s="8">
        <v>120</v>
      </c>
      <c r="F84" s="8">
        <v>8395.0426737594571</v>
      </c>
      <c r="H84" s="9">
        <f t="shared" si="1"/>
        <v>8395.0426737594571</v>
      </c>
      <c r="I84" s="6" t="s">
        <v>0</v>
      </c>
      <c r="J84" s="6" t="s">
        <v>0</v>
      </c>
      <c r="L84" s="8">
        <v>119.99999999999999</v>
      </c>
      <c r="M84" s="8">
        <v>8395.0426737594571</v>
      </c>
      <c r="N84" s="8"/>
      <c r="O84" s="6" t="s">
        <v>0</v>
      </c>
      <c r="P84" s="6" t="s">
        <v>0</v>
      </c>
      <c r="R84" s="6" t="s">
        <v>0</v>
      </c>
      <c r="S84" s="6" t="s">
        <v>0</v>
      </c>
      <c r="U84" s="6" t="s">
        <v>0</v>
      </c>
      <c r="V84" s="6" t="s">
        <v>0</v>
      </c>
    </row>
    <row r="85" spans="1:22" x14ac:dyDescent="0.3">
      <c r="A85" s="11" t="s">
        <v>109</v>
      </c>
      <c r="B85" s="6" t="s">
        <v>113</v>
      </c>
      <c r="C85" s="7">
        <v>1</v>
      </c>
      <c r="D85" s="6" t="s">
        <v>45</v>
      </c>
      <c r="E85" s="8">
        <v>103.871</v>
      </c>
      <c r="F85" s="8">
        <v>103.871</v>
      </c>
      <c r="G85" s="7"/>
      <c r="H85" s="9">
        <f t="shared" si="1"/>
        <v>103.871</v>
      </c>
      <c r="I85" s="8">
        <v>64.599999999999994</v>
      </c>
      <c r="J85" s="8">
        <v>64.599999999999994</v>
      </c>
      <c r="K85" s="8"/>
      <c r="L85" s="8">
        <v>39.271000000000001</v>
      </c>
      <c r="M85" s="8">
        <v>39.271000000000001</v>
      </c>
      <c r="N85" s="8"/>
      <c r="O85" s="6" t="s">
        <v>0</v>
      </c>
      <c r="P85" s="6" t="s">
        <v>0</v>
      </c>
      <c r="R85" s="6" t="s">
        <v>0</v>
      </c>
      <c r="S85" s="6" t="s">
        <v>0</v>
      </c>
      <c r="U85" s="6" t="s">
        <v>0</v>
      </c>
      <c r="V85" s="6" t="s">
        <v>0</v>
      </c>
    </row>
    <row r="86" spans="1:22" x14ac:dyDescent="0.3">
      <c r="A86" s="11" t="s">
        <v>109</v>
      </c>
      <c r="B86" s="6" t="s">
        <v>112</v>
      </c>
      <c r="C86" s="7">
        <v>10.52402813815392</v>
      </c>
      <c r="D86" s="6" t="s">
        <v>47</v>
      </c>
      <c r="E86" s="8">
        <v>210</v>
      </c>
      <c r="F86" s="8">
        <v>2210.0459090123231</v>
      </c>
      <c r="H86" s="9">
        <f t="shared" si="1"/>
        <v>2210.0459090123231</v>
      </c>
      <c r="I86" s="6" t="s">
        <v>0</v>
      </c>
      <c r="J86" s="6" t="s">
        <v>0</v>
      </c>
      <c r="L86" s="8">
        <v>210</v>
      </c>
      <c r="M86" s="8">
        <v>2210.0459090123231</v>
      </c>
      <c r="N86" s="8"/>
      <c r="O86" s="6" t="s">
        <v>0</v>
      </c>
      <c r="P86" s="6" t="s">
        <v>0</v>
      </c>
      <c r="R86" s="6" t="s">
        <v>0</v>
      </c>
      <c r="S86" s="6" t="s">
        <v>0</v>
      </c>
      <c r="U86" s="6" t="s">
        <v>0</v>
      </c>
      <c r="V86" s="6" t="s">
        <v>0</v>
      </c>
    </row>
    <row r="87" spans="1:22" x14ac:dyDescent="0.3">
      <c r="A87" s="11" t="s">
        <v>109</v>
      </c>
      <c r="B87" s="6" t="s">
        <v>114</v>
      </c>
      <c r="C87" s="7">
        <v>1</v>
      </c>
      <c r="D87" s="6" t="s">
        <v>45</v>
      </c>
      <c r="E87" s="8">
        <v>7.4</v>
      </c>
      <c r="F87" s="8">
        <v>7.4</v>
      </c>
      <c r="H87" s="9">
        <f t="shared" si="1"/>
        <v>7.4</v>
      </c>
      <c r="I87" s="6" t="s">
        <v>0</v>
      </c>
      <c r="J87" s="6" t="s">
        <v>0</v>
      </c>
      <c r="L87" s="8">
        <v>7.4</v>
      </c>
      <c r="M87" s="8">
        <v>7.4</v>
      </c>
      <c r="N87" s="8"/>
      <c r="O87" s="6" t="s">
        <v>0</v>
      </c>
      <c r="P87" s="6" t="s">
        <v>0</v>
      </c>
      <c r="R87" s="6" t="s">
        <v>0</v>
      </c>
      <c r="S87" s="6" t="s">
        <v>0</v>
      </c>
      <c r="U87" s="6" t="s">
        <v>0</v>
      </c>
      <c r="V87" s="6" t="s">
        <v>0</v>
      </c>
    </row>
    <row r="88" spans="1:22" x14ac:dyDescent="0.3">
      <c r="A88" s="11" t="s">
        <v>109</v>
      </c>
      <c r="B88" s="6" t="s">
        <v>116</v>
      </c>
      <c r="C88" s="7">
        <v>4</v>
      </c>
      <c r="D88" s="6" t="s">
        <v>45</v>
      </c>
      <c r="E88" s="8">
        <v>103.871</v>
      </c>
      <c r="F88" s="8">
        <v>415.48399999999998</v>
      </c>
      <c r="G88" s="7"/>
      <c r="H88" s="9">
        <f t="shared" si="1"/>
        <v>415.48399999999998</v>
      </c>
      <c r="I88" s="8">
        <v>64.599999999999994</v>
      </c>
      <c r="J88" s="8">
        <v>258.39999999999998</v>
      </c>
      <c r="K88" s="8"/>
      <c r="L88" s="8">
        <v>39.271000000000001</v>
      </c>
      <c r="M88" s="8">
        <v>157.084</v>
      </c>
      <c r="N88" s="8"/>
      <c r="O88" s="6" t="s">
        <v>0</v>
      </c>
      <c r="P88" s="6" t="s">
        <v>0</v>
      </c>
      <c r="R88" s="6" t="s">
        <v>0</v>
      </c>
      <c r="S88" s="6" t="s">
        <v>0</v>
      </c>
      <c r="U88" s="6" t="s">
        <v>0</v>
      </c>
      <c r="V88" s="6" t="s">
        <v>0</v>
      </c>
    </row>
    <row r="89" spans="1:22" x14ac:dyDescent="0.3">
      <c r="A89" s="11" t="s">
        <v>109</v>
      </c>
      <c r="B89" s="6" t="s">
        <v>115</v>
      </c>
      <c r="C89" s="7">
        <v>32.691093546367171</v>
      </c>
      <c r="D89" s="6" t="s">
        <v>47</v>
      </c>
      <c r="E89" s="8">
        <v>190</v>
      </c>
      <c r="F89" s="8">
        <v>6211.3077738097627</v>
      </c>
      <c r="H89" s="9">
        <f t="shared" si="1"/>
        <v>6211.3077738097627</v>
      </c>
      <c r="I89" s="6" t="s">
        <v>0</v>
      </c>
      <c r="J89" s="6" t="s">
        <v>0</v>
      </c>
      <c r="L89" s="8">
        <v>190</v>
      </c>
      <c r="M89" s="8">
        <v>6211.3077738097627</v>
      </c>
      <c r="N89" s="8"/>
      <c r="O89" s="6" t="s">
        <v>0</v>
      </c>
      <c r="P89" s="6" t="s">
        <v>0</v>
      </c>
      <c r="R89" s="6" t="s">
        <v>0</v>
      </c>
      <c r="S89" s="6" t="s">
        <v>0</v>
      </c>
      <c r="U89" s="6" t="s">
        <v>0</v>
      </c>
      <c r="V89" s="6" t="s">
        <v>0</v>
      </c>
    </row>
    <row r="90" spans="1:22" x14ac:dyDescent="0.3">
      <c r="A90" s="11" t="s">
        <v>109</v>
      </c>
      <c r="B90" s="6" t="s">
        <v>117</v>
      </c>
      <c r="C90" s="7">
        <v>4</v>
      </c>
      <c r="D90" s="6" t="s">
        <v>45</v>
      </c>
      <c r="E90" s="8">
        <v>7.4</v>
      </c>
      <c r="F90" s="8">
        <v>29.6</v>
      </c>
      <c r="H90" s="9">
        <f t="shared" si="1"/>
        <v>29.6</v>
      </c>
      <c r="I90" s="6" t="s">
        <v>0</v>
      </c>
      <c r="J90" s="6" t="s">
        <v>0</v>
      </c>
      <c r="L90" s="8">
        <v>7.4</v>
      </c>
      <c r="M90" s="8">
        <v>29.6</v>
      </c>
      <c r="N90" s="8"/>
      <c r="O90" s="6" t="s">
        <v>0</v>
      </c>
      <c r="P90" s="6" t="s">
        <v>0</v>
      </c>
      <c r="R90" s="6" t="s">
        <v>0</v>
      </c>
      <c r="S90" s="6" t="s">
        <v>0</v>
      </c>
      <c r="U90" s="6" t="s">
        <v>0</v>
      </c>
      <c r="V90" s="6" t="s">
        <v>0</v>
      </c>
    </row>
    <row r="91" spans="1:22" x14ac:dyDescent="0.3">
      <c r="A91" s="11" t="s">
        <v>109</v>
      </c>
      <c r="B91" s="6" t="s">
        <v>118</v>
      </c>
      <c r="C91" s="7">
        <v>17.834366381833011</v>
      </c>
      <c r="D91" s="6" t="s">
        <v>47</v>
      </c>
      <c r="E91" s="8">
        <v>53.829000000000001</v>
      </c>
      <c r="F91" s="8">
        <v>960.00610796768933</v>
      </c>
      <c r="G91" s="7"/>
      <c r="H91" s="9">
        <f t="shared" si="1"/>
        <v>960.00610796768933</v>
      </c>
      <c r="I91" s="8">
        <v>24.89</v>
      </c>
      <c r="J91" s="8">
        <v>443.89737924382365</v>
      </c>
      <c r="K91" s="8"/>
      <c r="L91" s="8">
        <v>28.939000000000007</v>
      </c>
      <c r="M91" s="8">
        <v>516.10872872386562</v>
      </c>
      <c r="N91" s="8"/>
      <c r="O91" s="6" t="s">
        <v>0</v>
      </c>
      <c r="P91" s="6" t="s">
        <v>0</v>
      </c>
      <c r="R91" s="6" t="s">
        <v>0</v>
      </c>
      <c r="S91" s="6" t="s">
        <v>0</v>
      </c>
      <c r="U91" s="6" t="s">
        <v>0</v>
      </c>
      <c r="V91" s="6" t="s">
        <v>0</v>
      </c>
    </row>
    <row r="92" spans="1:22" x14ac:dyDescent="0.3">
      <c r="A92" s="11" t="s">
        <v>109</v>
      </c>
      <c r="B92" s="6" t="s">
        <v>119</v>
      </c>
      <c r="C92" s="7">
        <v>2.6751549572749518</v>
      </c>
      <c r="D92" s="6" t="s">
        <v>39</v>
      </c>
      <c r="E92" s="8">
        <v>144.24</v>
      </c>
      <c r="F92" s="8">
        <v>385.86435103733908</v>
      </c>
      <c r="G92" s="7"/>
      <c r="H92" s="9">
        <f t="shared" si="1"/>
        <v>385.86435103733908</v>
      </c>
      <c r="I92" s="8">
        <v>14.44</v>
      </c>
      <c r="J92" s="8">
        <v>38.629237583050305</v>
      </c>
      <c r="K92" s="8"/>
      <c r="L92" s="8">
        <v>129.80000000000001</v>
      </c>
      <c r="M92" s="8">
        <v>347.23511345428875</v>
      </c>
      <c r="N92" s="8"/>
      <c r="O92" s="6" t="s">
        <v>0</v>
      </c>
      <c r="P92" s="6" t="s">
        <v>0</v>
      </c>
      <c r="R92" s="6" t="s">
        <v>0</v>
      </c>
      <c r="S92" s="6" t="s">
        <v>0</v>
      </c>
      <c r="U92" s="6" t="s">
        <v>0</v>
      </c>
      <c r="V92" s="6" t="s">
        <v>0</v>
      </c>
    </row>
    <row r="93" spans="1:22" x14ac:dyDescent="0.3">
      <c r="A93" s="11" t="s">
        <v>109</v>
      </c>
      <c r="B93" s="6" t="s">
        <v>120</v>
      </c>
      <c r="C93" s="7">
        <v>55</v>
      </c>
      <c r="D93" s="6" t="s">
        <v>45</v>
      </c>
      <c r="E93" s="8">
        <v>40.46</v>
      </c>
      <c r="F93" s="8">
        <v>2225.3000000000002</v>
      </c>
      <c r="H93" s="9">
        <f t="shared" si="1"/>
        <v>2225.3000000000002</v>
      </c>
      <c r="I93" s="6" t="s">
        <v>0</v>
      </c>
      <c r="J93" s="6" t="s">
        <v>0</v>
      </c>
      <c r="L93" s="8">
        <v>26.960000000000004</v>
      </c>
      <c r="M93" s="8">
        <v>1482.8000000000002</v>
      </c>
      <c r="N93" s="8"/>
      <c r="O93" s="8">
        <v>13.5</v>
      </c>
      <c r="P93" s="8">
        <v>742.5</v>
      </c>
      <c r="Q93" s="8"/>
      <c r="R93" s="6" t="s">
        <v>0</v>
      </c>
      <c r="S93" s="6" t="s">
        <v>0</v>
      </c>
      <c r="U93" s="6" t="s">
        <v>0</v>
      </c>
      <c r="V93" s="6" t="s">
        <v>0</v>
      </c>
    </row>
    <row r="94" spans="1:22" x14ac:dyDescent="0.3">
      <c r="A94" s="11" t="s">
        <v>109</v>
      </c>
      <c r="B94" s="6" t="s">
        <v>121</v>
      </c>
      <c r="C94" s="7">
        <v>55</v>
      </c>
      <c r="D94" s="6" t="s">
        <v>45</v>
      </c>
      <c r="E94" s="8">
        <v>50</v>
      </c>
      <c r="F94" s="8">
        <v>2750</v>
      </c>
      <c r="H94" s="9">
        <f t="shared" si="1"/>
        <v>2750</v>
      </c>
      <c r="I94" s="6" t="s">
        <v>0</v>
      </c>
      <c r="J94" s="6" t="s">
        <v>0</v>
      </c>
      <c r="L94" s="8">
        <v>32</v>
      </c>
      <c r="M94" s="8">
        <v>1760</v>
      </c>
      <c r="N94" s="8"/>
      <c r="O94" s="8">
        <v>18</v>
      </c>
      <c r="P94" s="8">
        <v>990</v>
      </c>
      <c r="Q94" s="8"/>
      <c r="R94" s="6" t="s">
        <v>0</v>
      </c>
      <c r="S94" s="6" t="s">
        <v>0</v>
      </c>
      <c r="U94" s="6" t="s">
        <v>0</v>
      </c>
      <c r="V94" s="6" t="s">
        <v>0</v>
      </c>
    </row>
    <row r="95" spans="1:22" x14ac:dyDescent="0.3">
      <c r="A95" s="11" t="s">
        <v>122</v>
      </c>
      <c r="B95" s="6" t="s">
        <v>123</v>
      </c>
      <c r="C95" s="7">
        <v>78.430286498393684</v>
      </c>
      <c r="D95" s="6" t="s">
        <v>47</v>
      </c>
      <c r="E95" s="8">
        <v>6.6633000000000004</v>
      </c>
      <c r="F95" s="8">
        <v>522.60452802474663</v>
      </c>
      <c r="G95" s="7"/>
      <c r="H95" s="9">
        <f t="shared" si="1"/>
        <v>522.60452802474663</v>
      </c>
      <c r="I95" s="8">
        <v>6.6632999999999996</v>
      </c>
      <c r="J95" s="8">
        <v>522.60452802474663</v>
      </c>
      <c r="K95" s="8"/>
      <c r="L95" s="6" t="s">
        <v>0</v>
      </c>
      <c r="M95" s="6" t="s">
        <v>0</v>
      </c>
      <c r="O95" s="6" t="s">
        <v>0</v>
      </c>
      <c r="P95" s="6" t="s">
        <v>0</v>
      </c>
      <c r="R95" s="6" t="s">
        <v>0</v>
      </c>
      <c r="S95" s="6" t="s">
        <v>0</v>
      </c>
      <c r="U95" s="6" t="s">
        <v>0</v>
      </c>
      <c r="V95" s="6" t="s">
        <v>0</v>
      </c>
    </row>
    <row r="96" spans="1:22" x14ac:dyDescent="0.3">
      <c r="A96" s="11" t="s">
        <v>122</v>
      </c>
      <c r="B96" s="6" t="s">
        <v>124</v>
      </c>
      <c r="C96" s="7">
        <v>11.764542974759051</v>
      </c>
      <c r="D96" s="6" t="s">
        <v>39</v>
      </c>
      <c r="E96" s="8">
        <v>182.95500000000001</v>
      </c>
      <c r="F96" s="8">
        <v>2152.3819599470421</v>
      </c>
      <c r="G96" s="7"/>
      <c r="H96" s="9">
        <f t="shared" si="1"/>
        <v>2152.3819599470421</v>
      </c>
      <c r="I96" s="8">
        <v>17.955000000000002</v>
      </c>
      <c r="J96" s="8">
        <v>211.23236911179879</v>
      </c>
      <c r="K96" s="8"/>
      <c r="L96" s="8">
        <v>165</v>
      </c>
      <c r="M96" s="8">
        <v>1941.1495908352433</v>
      </c>
      <c r="N96" s="8"/>
      <c r="O96" s="6" t="s">
        <v>0</v>
      </c>
      <c r="P96" s="6" t="s">
        <v>0</v>
      </c>
      <c r="R96" s="6" t="s">
        <v>0</v>
      </c>
      <c r="S96" s="6" t="s">
        <v>0</v>
      </c>
      <c r="U96" s="6" t="s">
        <v>0</v>
      </c>
      <c r="V96" s="6" t="s">
        <v>0</v>
      </c>
    </row>
    <row r="97" spans="1:22" x14ac:dyDescent="0.3">
      <c r="A97" s="11" t="s">
        <v>122</v>
      </c>
      <c r="B97" s="6" t="s">
        <v>125</v>
      </c>
      <c r="C97" s="7">
        <v>1568.6057299678739</v>
      </c>
      <c r="D97" s="6" t="s">
        <v>87</v>
      </c>
      <c r="E97" s="8">
        <v>1.6956000000000002</v>
      </c>
      <c r="F97" s="8">
        <v>2659.7278757335271</v>
      </c>
      <c r="G97" s="7"/>
      <c r="H97" s="9">
        <f t="shared" si="1"/>
        <v>2659.7278757335271</v>
      </c>
      <c r="I97" s="8">
        <v>0.88560000000000005</v>
      </c>
      <c r="J97" s="8">
        <v>1389.1572344595493</v>
      </c>
      <c r="K97" s="8"/>
      <c r="L97" s="8">
        <v>0.81</v>
      </c>
      <c r="M97" s="8">
        <v>1270.570641273978</v>
      </c>
      <c r="N97" s="8"/>
      <c r="O97" s="6" t="s">
        <v>0</v>
      </c>
      <c r="P97" s="6" t="s">
        <v>0</v>
      </c>
      <c r="R97" s="6" t="s">
        <v>0</v>
      </c>
      <c r="S97" s="6" t="s">
        <v>0</v>
      </c>
      <c r="U97" s="6" t="s">
        <v>0</v>
      </c>
      <c r="V97" s="6" t="s">
        <v>0</v>
      </c>
    </row>
    <row r="98" spans="1:22" x14ac:dyDescent="0.3">
      <c r="A98" s="11" t="s">
        <v>122</v>
      </c>
      <c r="B98" s="6" t="s">
        <v>126</v>
      </c>
      <c r="C98" s="7">
        <v>156.8605729967874</v>
      </c>
      <c r="D98" s="6" t="s">
        <v>47</v>
      </c>
      <c r="E98" s="8">
        <v>13.188000000000001</v>
      </c>
      <c r="F98" s="8">
        <v>2068.6772366816322</v>
      </c>
      <c r="G98" s="7"/>
      <c r="H98" s="9">
        <f t="shared" si="1"/>
        <v>2068.6772366816322</v>
      </c>
      <c r="I98" s="8">
        <v>4.7880000000000003</v>
      </c>
      <c r="J98" s="8">
        <v>751.04842350861804</v>
      </c>
      <c r="K98" s="8"/>
      <c r="L98" s="8">
        <v>8.4000000000000021</v>
      </c>
      <c r="M98" s="8">
        <v>1317.6288131730144</v>
      </c>
      <c r="N98" s="8"/>
      <c r="O98" s="6" t="s">
        <v>0</v>
      </c>
      <c r="P98" s="6" t="s">
        <v>0</v>
      </c>
      <c r="R98" s="6" t="s">
        <v>0</v>
      </c>
      <c r="S98" s="6" t="s">
        <v>0</v>
      </c>
      <c r="U98" s="6" t="s">
        <v>0</v>
      </c>
      <c r="V98" s="6" t="s">
        <v>0</v>
      </c>
    </row>
    <row r="99" spans="1:22" x14ac:dyDescent="0.3">
      <c r="A99" s="11" t="s">
        <v>122</v>
      </c>
      <c r="B99" s="6" t="s">
        <v>127</v>
      </c>
      <c r="C99" s="7">
        <v>78.430286498393684</v>
      </c>
      <c r="D99" s="6" t="s">
        <v>47</v>
      </c>
      <c r="E99" s="8">
        <v>0.5635</v>
      </c>
      <c r="F99" s="8">
        <v>44.195466441844843</v>
      </c>
      <c r="G99" s="7"/>
      <c r="H99" s="9">
        <f t="shared" si="1"/>
        <v>44.195466441844843</v>
      </c>
      <c r="I99" s="8">
        <v>0.21850000000000003</v>
      </c>
      <c r="J99" s="8">
        <v>17.137017599899021</v>
      </c>
      <c r="K99" s="8"/>
      <c r="L99" s="8">
        <v>0.34499999999999997</v>
      </c>
      <c r="M99" s="8">
        <v>27.058448841945818</v>
      </c>
      <c r="N99" s="8"/>
      <c r="O99" s="6" t="s">
        <v>0</v>
      </c>
      <c r="P99" s="6" t="s">
        <v>0</v>
      </c>
      <c r="R99" s="6" t="s">
        <v>0</v>
      </c>
      <c r="S99" s="6" t="s">
        <v>0</v>
      </c>
      <c r="U99" s="6" t="s">
        <v>0</v>
      </c>
      <c r="V99" s="6" t="s">
        <v>0</v>
      </c>
    </row>
    <row r="100" spans="1:22" x14ac:dyDescent="0.3">
      <c r="A100" s="11" t="s">
        <v>122</v>
      </c>
      <c r="B100" s="6" t="s">
        <v>129</v>
      </c>
      <c r="C100" s="7">
        <v>35</v>
      </c>
      <c r="D100" s="6" t="s">
        <v>65</v>
      </c>
      <c r="E100" s="8">
        <v>2.7199999999999998</v>
      </c>
      <c r="F100" s="8">
        <v>95.2</v>
      </c>
      <c r="G100" s="7"/>
      <c r="H100" s="9">
        <f t="shared" si="1"/>
        <v>95.2</v>
      </c>
      <c r="I100" s="8">
        <v>1.52</v>
      </c>
      <c r="J100" s="8">
        <v>53.2</v>
      </c>
      <c r="K100" s="8"/>
      <c r="L100" s="8">
        <v>1.2</v>
      </c>
      <c r="M100" s="8">
        <v>42</v>
      </c>
      <c r="N100" s="8"/>
      <c r="O100" s="6" t="s">
        <v>0</v>
      </c>
      <c r="P100" s="6" t="s">
        <v>0</v>
      </c>
      <c r="R100" s="6" t="s">
        <v>0</v>
      </c>
      <c r="S100" s="6" t="s">
        <v>0</v>
      </c>
      <c r="U100" s="6" t="s">
        <v>0</v>
      </c>
      <c r="V100" s="6" t="s">
        <v>0</v>
      </c>
    </row>
    <row r="101" spans="1:22" x14ac:dyDescent="0.3">
      <c r="A101" s="11" t="s">
        <v>122</v>
      </c>
      <c r="B101" s="6" t="s">
        <v>130</v>
      </c>
      <c r="C101" s="7">
        <v>78.430286498393684</v>
      </c>
      <c r="D101" s="6" t="s">
        <v>47</v>
      </c>
      <c r="E101" s="8">
        <v>3.02</v>
      </c>
      <c r="F101" s="8">
        <v>236.85946522514894</v>
      </c>
      <c r="G101" s="7"/>
      <c r="H101" s="9">
        <f t="shared" si="1"/>
        <v>236.85946522514894</v>
      </c>
      <c r="I101" s="8">
        <v>1.52</v>
      </c>
      <c r="J101" s="8">
        <v>119.2140354775584</v>
      </c>
      <c r="K101" s="8"/>
      <c r="L101" s="8">
        <v>1.5</v>
      </c>
      <c r="M101" s="8">
        <v>117.64542974759053</v>
      </c>
      <c r="N101" s="8"/>
      <c r="O101" s="6" t="s">
        <v>0</v>
      </c>
      <c r="P101" s="6" t="s">
        <v>0</v>
      </c>
      <c r="R101" s="6" t="s">
        <v>0</v>
      </c>
      <c r="S101" s="6" t="s">
        <v>0</v>
      </c>
      <c r="U101" s="6" t="s">
        <v>0</v>
      </c>
      <c r="V101" s="6" t="s">
        <v>0</v>
      </c>
    </row>
    <row r="102" spans="1:22" x14ac:dyDescent="0.3">
      <c r="A102" s="11" t="s">
        <v>122</v>
      </c>
      <c r="B102" s="6" t="s">
        <v>131</v>
      </c>
      <c r="C102" s="7">
        <v>23.90124679831337</v>
      </c>
      <c r="D102" s="6" t="s">
        <v>39</v>
      </c>
      <c r="E102" s="8">
        <v>180.96</v>
      </c>
      <c r="F102" s="8">
        <v>4325.169620622788</v>
      </c>
      <c r="G102" s="7"/>
      <c r="H102" s="9">
        <f t="shared" si="1"/>
        <v>4325.169620622788</v>
      </c>
      <c r="I102" s="8">
        <v>15.96</v>
      </c>
      <c r="J102" s="8">
        <v>381.46389890108139</v>
      </c>
      <c r="K102" s="8"/>
      <c r="L102" s="8">
        <v>165</v>
      </c>
      <c r="M102" s="8">
        <v>3943.7057217217061</v>
      </c>
      <c r="N102" s="8"/>
      <c r="O102" s="6" t="s">
        <v>0</v>
      </c>
      <c r="P102" s="6" t="s">
        <v>0</v>
      </c>
      <c r="R102" s="6" t="s">
        <v>0</v>
      </c>
      <c r="S102" s="6" t="s">
        <v>0</v>
      </c>
      <c r="U102" s="6" t="s">
        <v>0</v>
      </c>
      <c r="V102" s="6" t="s">
        <v>0</v>
      </c>
    </row>
    <row r="103" spans="1:22" x14ac:dyDescent="0.3">
      <c r="A103" s="11" t="s">
        <v>122</v>
      </c>
      <c r="B103" s="6" t="s">
        <v>132</v>
      </c>
      <c r="C103" s="7">
        <v>3410.0891404333502</v>
      </c>
      <c r="D103" s="6" t="s">
        <v>87</v>
      </c>
      <c r="E103" s="8">
        <v>1.6778</v>
      </c>
      <c r="F103" s="8">
        <v>5721.4475598190747</v>
      </c>
      <c r="G103" s="7"/>
      <c r="H103" s="9">
        <f t="shared" si="1"/>
        <v>5721.4475598190747</v>
      </c>
      <c r="I103" s="8">
        <v>0.8528</v>
      </c>
      <c r="J103" s="8">
        <v>2908.124018961561</v>
      </c>
      <c r="K103" s="8"/>
      <c r="L103" s="8">
        <v>0.82500000000000007</v>
      </c>
      <c r="M103" s="8">
        <v>2813.3235408575142</v>
      </c>
      <c r="N103" s="8"/>
      <c r="O103" s="6" t="s">
        <v>0</v>
      </c>
      <c r="P103" s="6" t="s">
        <v>0</v>
      </c>
      <c r="R103" s="6" t="s">
        <v>0</v>
      </c>
      <c r="S103" s="6" t="s">
        <v>0</v>
      </c>
      <c r="U103" s="6" t="s">
        <v>0</v>
      </c>
      <c r="V103" s="6" t="s">
        <v>0</v>
      </c>
    </row>
    <row r="104" spans="1:22" x14ac:dyDescent="0.3">
      <c r="A104" s="11" t="s">
        <v>122</v>
      </c>
      <c r="B104" s="6" t="s">
        <v>133</v>
      </c>
      <c r="C104" s="7">
        <v>164.34164532208911</v>
      </c>
      <c r="D104" s="6" t="s">
        <v>47</v>
      </c>
      <c r="E104" s="8">
        <v>47.018163515687405</v>
      </c>
      <c r="F104" s="8">
        <v>7727.0423521910889</v>
      </c>
      <c r="G104" s="7"/>
      <c r="H104" s="9">
        <f t="shared" si="1"/>
        <v>7727.0423521910889</v>
      </c>
      <c r="I104" s="8">
        <v>20.900000000000002</v>
      </c>
      <c r="J104" s="8">
        <v>3434.7403872316627</v>
      </c>
      <c r="K104" s="8"/>
      <c r="L104" s="6" t="s">
        <v>0</v>
      </c>
      <c r="M104" s="6" t="s">
        <v>0</v>
      </c>
      <c r="O104" s="6" t="s">
        <v>0</v>
      </c>
      <c r="P104" s="6" t="s">
        <v>0</v>
      </c>
      <c r="R104" s="8">
        <v>26.118163515687396</v>
      </c>
      <c r="S104" s="8">
        <v>4292.3019649594262</v>
      </c>
      <c r="T104" s="8"/>
      <c r="U104" s="6" t="s">
        <v>0</v>
      </c>
      <c r="V104" s="6" t="s">
        <v>0</v>
      </c>
    </row>
    <row r="105" spans="1:22" x14ac:dyDescent="0.3">
      <c r="A105" s="11" t="s">
        <v>122</v>
      </c>
      <c r="B105" s="6" t="s">
        <v>134</v>
      </c>
      <c r="C105" s="7">
        <v>2.4200220888429169</v>
      </c>
      <c r="D105" s="6" t="s">
        <v>39</v>
      </c>
      <c r="E105" s="8">
        <v>180.96</v>
      </c>
      <c r="F105" s="8">
        <v>437.92719719701421</v>
      </c>
      <c r="G105" s="7"/>
      <c r="H105" s="9">
        <f t="shared" si="1"/>
        <v>437.92719719701421</v>
      </c>
      <c r="I105" s="8">
        <v>15.960000000000003</v>
      </c>
      <c r="J105" s="8">
        <v>38.623552537932959</v>
      </c>
      <c r="K105" s="8"/>
      <c r="L105" s="8">
        <v>165</v>
      </c>
      <c r="M105" s="8">
        <v>399.30364465908127</v>
      </c>
      <c r="N105" s="8"/>
      <c r="O105" s="6" t="s">
        <v>0</v>
      </c>
      <c r="P105" s="6" t="s">
        <v>0</v>
      </c>
      <c r="R105" s="6" t="s">
        <v>0</v>
      </c>
      <c r="S105" s="6" t="s">
        <v>0</v>
      </c>
      <c r="U105" s="6" t="s">
        <v>0</v>
      </c>
      <c r="V105" s="6" t="s">
        <v>0</v>
      </c>
    </row>
    <row r="106" spans="1:22" x14ac:dyDescent="0.3">
      <c r="A106" s="11" t="s">
        <v>122</v>
      </c>
      <c r="B106" s="6" t="s">
        <v>135</v>
      </c>
      <c r="C106" s="7">
        <v>544.50496998965639</v>
      </c>
      <c r="D106" s="6" t="s">
        <v>87</v>
      </c>
      <c r="E106" s="8">
        <v>1.6778</v>
      </c>
      <c r="F106" s="8">
        <v>913.57043864864545</v>
      </c>
      <c r="G106" s="7"/>
      <c r="H106" s="9">
        <f t="shared" si="1"/>
        <v>913.57043864864545</v>
      </c>
      <c r="I106" s="8">
        <v>0.8528</v>
      </c>
      <c r="J106" s="8">
        <v>464.35383840717896</v>
      </c>
      <c r="K106" s="8"/>
      <c r="L106" s="8">
        <v>0.82500000000000007</v>
      </c>
      <c r="M106" s="8">
        <v>449.21660024146655</v>
      </c>
      <c r="N106" s="8"/>
      <c r="O106" s="6" t="s">
        <v>0</v>
      </c>
      <c r="P106" s="6" t="s">
        <v>0</v>
      </c>
      <c r="R106" s="6" t="s">
        <v>0</v>
      </c>
      <c r="S106" s="6" t="s">
        <v>0</v>
      </c>
      <c r="U106" s="6" t="s">
        <v>0</v>
      </c>
      <c r="V106" s="6" t="s">
        <v>0</v>
      </c>
    </row>
    <row r="107" spans="1:22" x14ac:dyDescent="0.3">
      <c r="A107" s="11" t="s">
        <v>122</v>
      </c>
      <c r="B107" s="6" t="s">
        <v>136</v>
      </c>
      <c r="C107" s="7">
        <v>24.200220888429168</v>
      </c>
      <c r="D107" s="6" t="s">
        <v>47</v>
      </c>
      <c r="E107" s="8">
        <v>47.018163515687405</v>
      </c>
      <c r="F107" s="8">
        <v>1137.8499428479163</v>
      </c>
      <c r="G107" s="7"/>
      <c r="H107" s="9">
        <f t="shared" si="1"/>
        <v>1137.8499428479163</v>
      </c>
      <c r="I107" s="8">
        <v>20.900000000000002</v>
      </c>
      <c r="J107" s="8">
        <v>505.78461656816967</v>
      </c>
      <c r="K107" s="8"/>
      <c r="L107" s="6" t="s">
        <v>0</v>
      </c>
      <c r="M107" s="6" t="s">
        <v>0</v>
      </c>
      <c r="O107" s="6" t="s">
        <v>0</v>
      </c>
      <c r="P107" s="6" t="s">
        <v>0</v>
      </c>
      <c r="R107" s="8">
        <v>26.118163515687399</v>
      </c>
      <c r="S107" s="8">
        <v>632.06532627974684</v>
      </c>
      <c r="T107" s="8"/>
      <c r="U107" s="6" t="s">
        <v>0</v>
      </c>
      <c r="V107" s="6" t="s">
        <v>0</v>
      </c>
    </row>
    <row r="108" spans="1:22" x14ac:dyDescent="0.3">
      <c r="A108" s="11" t="s">
        <v>122</v>
      </c>
      <c r="B108" s="6" t="s">
        <v>137</v>
      </c>
      <c r="C108" s="7">
        <v>78.357057567832285</v>
      </c>
      <c r="D108" s="6" t="s">
        <v>47</v>
      </c>
      <c r="E108" s="8">
        <v>6.6633000000000004</v>
      </c>
      <c r="F108" s="8">
        <v>522.11658169173688</v>
      </c>
      <c r="G108" s="7"/>
      <c r="H108" s="9">
        <f t="shared" si="1"/>
        <v>522.11658169173688</v>
      </c>
      <c r="I108" s="8">
        <v>6.6633000000000004</v>
      </c>
      <c r="J108" s="8">
        <v>522.11658169173688</v>
      </c>
      <c r="K108" s="8"/>
      <c r="L108" s="6" t="s">
        <v>0</v>
      </c>
      <c r="M108" s="6" t="s">
        <v>0</v>
      </c>
      <c r="O108" s="6" t="s">
        <v>0</v>
      </c>
      <c r="P108" s="6" t="s">
        <v>0</v>
      </c>
      <c r="R108" s="6" t="s">
        <v>0</v>
      </c>
      <c r="S108" s="6" t="s">
        <v>0</v>
      </c>
      <c r="U108" s="6" t="s">
        <v>0</v>
      </c>
      <c r="V108" s="6" t="s">
        <v>0</v>
      </c>
    </row>
    <row r="109" spans="1:22" x14ac:dyDescent="0.3">
      <c r="A109" s="11" t="s">
        <v>122</v>
      </c>
      <c r="B109" s="6" t="s">
        <v>138</v>
      </c>
      <c r="C109" s="7">
        <v>23.507117270349688</v>
      </c>
      <c r="D109" s="6" t="s">
        <v>39</v>
      </c>
      <c r="E109" s="8">
        <v>180.96</v>
      </c>
      <c r="F109" s="8">
        <v>4253.8479412424795</v>
      </c>
      <c r="G109" s="7"/>
      <c r="H109" s="9">
        <f t="shared" si="1"/>
        <v>4253.8479412424795</v>
      </c>
      <c r="I109" s="8">
        <v>15.960000000000003</v>
      </c>
      <c r="J109" s="8">
        <v>375.17359163478108</v>
      </c>
      <c r="K109" s="8"/>
      <c r="L109" s="8">
        <v>165</v>
      </c>
      <c r="M109" s="8">
        <v>3878.6743496076988</v>
      </c>
      <c r="N109" s="8"/>
      <c r="O109" s="6" t="s">
        <v>0</v>
      </c>
      <c r="P109" s="6" t="s">
        <v>0</v>
      </c>
      <c r="R109" s="6" t="s">
        <v>0</v>
      </c>
      <c r="S109" s="6" t="s">
        <v>0</v>
      </c>
      <c r="U109" s="6" t="s">
        <v>0</v>
      </c>
      <c r="V109" s="6" t="s">
        <v>0</v>
      </c>
    </row>
    <row r="110" spans="1:22" x14ac:dyDescent="0.3">
      <c r="A110" s="11" t="s">
        <v>122</v>
      </c>
      <c r="B110" s="6" t="s">
        <v>139</v>
      </c>
      <c r="C110" s="7">
        <v>4152.9240510951113</v>
      </c>
      <c r="D110" s="6" t="s">
        <v>87</v>
      </c>
      <c r="E110" s="8">
        <v>1.7107999999999999</v>
      </c>
      <c r="F110" s="8">
        <v>7104.8224666135156</v>
      </c>
      <c r="G110" s="7"/>
      <c r="H110" s="9">
        <f t="shared" si="1"/>
        <v>7104.8224666135156</v>
      </c>
      <c r="I110" s="8">
        <v>0.8528</v>
      </c>
      <c r="J110" s="8">
        <v>3541.6136307739107</v>
      </c>
      <c r="K110" s="8"/>
      <c r="L110" s="8">
        <v>0.85799999999999998</v>
      </c>
      <c r="M110" s="8">
        <v>3563.2088358396054</v>
      </c>
      <c r="N110" s="8"/>
      <c r="O110" s="6" t="s">
        <v>0</v>
      </c>
      <c r="P110" s="6" t="s">
        <v>0</v>
      </c>
      <c r="R110" s="6" t="s">
        <v>0</v>
      </c>
      <c r="S110" s="6" t="s">
        <v>0</v>
      </c>
      <c r="U110" s="6" t="s">
        <v>0</v>
      </c>
      <c r="V110" s="6" t="s">
        <v>0</v>
      </c>
    </row>
    <row r="111" spans="1:22" x14ac:dyDescent="0.3">
      <c r="A111" s="11" t="s">
        <v>122</v>
      </c>
      <c r="B111" s="6" t="s">
        <v>140</v>
      </c>
      <c r="C111" s="7">
        <v>66.603498932657445</v>
      </c>
      <c r="D111" s="6" t="s">
        <v>47</v>
      </c>
      <c r="E111" s="8">
        <v>56.346577516083954</v>
      </c>
      <c r="F111" s="8">
        <v>3752.8792154513976</v>
      </c>
      <c r="G111" s="7"/>
      <c r="H111" s="9">
        <f t="shared" si="1"/>
        <v>3752.8792154513976</v>
      </c>
      <c r="I111" s="8">
        <v>27.93</v>
      </c>
      <c r="J111" s="8">
        <v>1860.2357251891224</v>
      </c>
      <c r="K111" s="8"/>
      <c r="L111" s="8">
        <v>15.290000000000001</v>
      </c>
      <c r="M111" s="8">
        <v>1018.3674986803323</v>
      </c>
      <c r="N111" s="8"/>
      <c r="O111" s="6" t="s">
        <v>0</v>
      </c>
      <c r="P111" s="6" t="s">
        <v>0</v>
      </c>
      <c r="R111" s="6" t="s">
        <v>0</v>
      </c>
      <c r="S111" s="6" t="s">
        <v>0</v>
      </c>
      <c r="U111" s="8">
        <v>13.126577516083959</v>
      </c>
      <c r="V111" s="8">
        <v>874.27599158194312</v>
      </c>
    </row>
    <row r="112" spans="1:22" x14ac:dyDescent="0.3">
      <c r="A112" s="11" t="s">
        <v>122</v>
      </c>
      <c r="B112" s="6" t="s">
        <v>141</v>
      </c>
      <c r="C112" s="7">
        <v>11.772</v>
      </c>
      <c r="D112" s="6" t="s">
        <v>47</v>
      </c>
      <c r="E112" s="8">
        <v>24.797000000000001</v>
      </c>
      <c r="F112" s="8">
        <v>291.91028399999999</v>
      </c>
      <c r="G112" s="7"/>
      <c r="H112" s="9">
        <f t="shared" si="1"/>
        <v>291.91028399999999</v>
      </c>
      <c r="I112" s="8">
        <v>10.374000000000001</v>
      </c>
      <c r="J112" s="8">
        <v>122.12272800000001</v>
      </c>
      <c r="K112" s="8"/>
      <c r="L112" s="8">
        <v>14.423000000000002</v>
      </c>
      <c r="M112" s="8">
        <v>169.78755600000002</v>
      </c>
      <c r="N112" s="8"/>
      <c r="O112" s="6" t="s">
        <v>0</v>
      </c>
      <c r="P112" s="6" t="s">
        <v>0</v>
      </c>
      <c r="R112" s="6" t="s">
        <v>0</v>
      </c>
      <c r="S112" s="6" t="s">
        <v>0</v>
      </c>
      <c r="U112" s="6" t="s">
        <v>0</v>
      </c>
      <c r="V112" s="6" t="s">
        <v>0</v>
      </c>
    </row>
    <row r="113" spans="1:22" x14ac:dyDescent="0.3">
      <c r="A113" s="11" t="s">
        <v>122</v>
      </c>
      <c r="B113" s="6" t="s">
        <v>142</v>
      </c>
      <c r="C113" s="7">
        <v>78.357057567832285</v>
      </c>
      <c r="D113" s="6" t="s">
        <v>47</v>
      </c>
      <c r="E113" s="8">
        <v>3.9018000000000002</v>
      </c>
      <c r="F113" s="8">
        <v>305.73356721816799</v>
      </c>
      <c r="G113" s="7"/>
      <c r="H113" s="9">
        <f t="shared" si="1"/>
        <v>305.73356721816799</v>
      </c>
      <c r="I113" s="8">
        <v>0.85280000000000011</v>
      </c>
      <c r="J113" s="8">
        <v>66.822898693847378</v>
      </c>
      <c r="K113" s="8"/>
      <c r="L113" s="8">
        <v>3.0489999999999999</v>
      </c>
      <c r="M113" s="8">
        <v>238.91066852432064</v>
      </c>
      <c r="N113" s="8"/>
      <c r="O113" s="6" t="s">
        <v>0</v>
      </c>
      <c r="P113" s="6" t="s">
        <v>0</v>
      </c>
      <c r="R113" s="6" t="s">
        <v>0</v>
      </c>
      <c r="S113" s="6" t="s">
        <v>0</v>
      </c>
      <c r="U113" s="6" t="s">
        <v>0</v>
      </c>
      <c r="V113" s="6" t="s">
        <v>0</v>
      </c>
    </row>
    <row r="114" spans="1:22" x14ac:dyDescent="0.3">
      <c r="A114" s="11" t="s">
        <v>122</v>
      </c>
      <c r="B114" s="6" t="s">
        <v>98</v>
      </c>
      <c r="C114" s="7">
        <v>12</v>
      </c>
      <c r="D114" s="6" t="s">
        <v>65</v>
      </c>
      <c r="E114" s="8">
        <v>1.8151740524601289E-2</v>
      </c>
      <c r="F114" s="8">
        <v>0.21782088629521545</v>
      </c>
      <c r="H114" s="9">
        <f t="shared" si="1"/>
        <v>0.21782088629521545</v>
      </c>
      <c r="I114" s="6" t="s">
        <v>0</v>
      </c>
      <c r="J114" s="6" t="s">
        <v>0</v>
      </c>
      <c r="L114" s="6" t="s">
        <v>0</v>
      </c>
      <c r="M114" s="6" t="s">
        <v>0</v>
      </c>
      <c r="O114" s="6" t="s">
        <v>0</v>
      </c>
      <c r="P114" s="6" t="s">
        <v>0</v>
      </c>
      <c r="R114" s="6" t="s">
        <v>0</v>
      </c>
      <c r="S114" s="6" t="s">
        <v>0</v>
      </c>
      <c r="U114" s="8">
        <v>1.8151740524601289E-2</v>
      </c>
      <c r="V114" s="8">
        <v>0.21782088629521545</v>
      </c>
    </row>
    <row r="115" spans="1:22" x14ac:dyDescent="0.3">
      <c r="A115" s="11" t="s">
        <v>122</v>
      </c>
      <c r="B115" s="6" t="s">
        <v>99</v>
      </c>
      <c r="C115" s="7">
        <v>8.879999999999999</v>
      </c>
      <c r="D115" s="6" t="s">
        <v>47</v>
      </c>
      <c r="E115" s="8">
        <v>25.6</v>
      </c>
      <c r="F115" s="8">
        <v>227.32799999999997</v>
      </c>
      <c r="G115" s="7"/>
      <c r="H115" s="9">
        <f t="shared" si="1"/>
        <v>227.32799999999997</v>
      </c>
      <c r="I115" s="8">
        <v>19</v>
      </c>
      <c r="J115" s="8">
        <v>168.71999999999997</v>
      </c>
      <c r="K115" s="8"/>
      <c r="L115" s="6" t="s">
        <v>0</v>
      </c>
      <c r="M115" s="6" t="s">
        <v>0</v>
      </c>
      <c r="O115" s="6" t="s">
        <v>0</v>
      </c>
      <c r="P115" s="6" t="s">
        <v>0</v>
      </c>
      <c r="R115" s="8">
        <v>6.6</v>
      </c>
      <c r="S115" s="8">
        <v>58.60799999999999</v>
      </c>
      <c r="T115" s="8"/>
      <c r="U115" s="6" t="s">
        <v>0</v>
      </c>
      <c r="V115" s="6" t="s">
        <v>0</v>
      </c>
    </row>
    <row r="116" spans="1:22" x14ac:dyDescent="0.3">
      <c r="A116" s="11" t="s">
        <v>122</v>
      </c>
      <c r="B116" s="6" t="s">
        <v>100</v>
      </c>
      <c r="C116" s="7">
        <v>12.432</v>
      </c>
      <c r="D116" s="6" t="s">
        <v>87</v>
      </c>
      <c r="E116" s="8">
        <v>1.6164000000000001</v>
      </c>
      <c r="F116" s="8">
        <v>20.095084800000002</v>
      </c>
      <c r="G116" s="7"/>
      <c r="H116" s="9">
        <f t="shared" si="1"/>
        <v>20.095084800000002</v>
      </c>
      <c r="I116" s="8">
        <v>0.83639999999999992</v>
      </c>
      <c r="J116" s="8">
        <v>10.3981248</v>
      </c>
      <c r="K116" s="8"/>
      <c r="L116" s="8">
        <v>0.78</v>
      </c>
      <c r="M116" s="8">
        <v>9.6969600000000007</v>
      </c>
      <c r="N116" s="8"/>
      <c r="O116" s="6" t="s">
        <v>0</v>
      </c>
      <c r="P116" s="6" t="s">
        <v>0</v>
      </c>
      <c r="R116" s="6" t="s">
        <v>0</v>
      </c>
      <c r="S116" s="6" t="s">
        <v>0</v>
      </c>
      <c r="U116" s="6" t="s">
        <v>0</v>
      </c>
      <c r="V116" s="6" t="s">
        <v>0</v>
      </c>
    </row>
    <row r="117" spans="1:22" x14ac:dyDescent="0.3">
      <c r="A117" s="11" t="s">
        <v>122</v>
      </c>
      <c r="B117" s="6" t="s">
        <v>101</v>
      </c>
      <c r="C117" s="7">
        <v>0.62160000000000004</v>
      </c>
      <c r="D117" s="6" t="s">
        <v>39</v>
      </c>
      <c r="E117" s="8">
        <v>179.82</v>
      </c>
      <c r="F117" s="8">
        <v>111.77611200000001</v>
      </c>
      <c r="G117" s="7"/>
      <c r="H117" s="9">
        <f t="shared" si="1"/>
        <v>111.77611200000001</v>
      </c>
      <c r="I117" s="8">
        <v>14.82</v>
      </c>
      <c r="J117" s="8">
        <v>9.2121120000000012</v>
      </c>
      <c r="K117" s="8"/>
      <c r="L117" s="8">
        <v>165</v>
      </c>
      <c r="M117" s="8">
        <v>102.56400000000001</v>
      </c>
      <c r="N117" s="8"/>
      <c r="O117" s="6" t="s">
        <v>0</v>
      </c>
      <c r="P117" s="6" t="s">
        <v>0</v>
      </c>
      <c r="R117" s="6" t="s">
        <v>0</v>
      </c>
      <c r="S117" s="6" t="s">
        <v>0</v>
      </c>
      <c r="U117" s="6" t="s">
        <v>0</v>
      </c>
      <c r="V117" s="6" t="s">
        <v>0</v>
      </c>
    </row>
    <row r="118" spans="1:22" x14ac:dyDescent="0.3">
      <c r="A118" s="11" t="s">
        <v>122</v>
      </c>
      <c r="B118" s="6" t="s">
        <v>143</v>
      </c>
      <c r="C118" s="7">
        <v>250.14536514317581</v>
      </c>
      <c r="D118" s="6" t="s">
        <v>47</v>
      </c>
      <c r="E118" s="8">
        <v>4.3000000000000007</v>
      </c>
      <c r="F118" s="8">
        <v>1075.6250701156559</v>
      </c>
      <c r="G118" s="7"/>
      <c r="H118" s="9">
        <f t="shared" si="1"/>
        <v>1075.6250701156559</v>
      </c>
      <c r="I118" s="8">
        <v>3.8000000000000003</v>
      </c>
      <c r="J118" s="8">
        <v>950.5523875440681</v>
      </c>
      <c r="K118" s="8"/>
      <c r="L118" s="8">
        <v>0.5</v>
      </c>
      <c r="M118" s="8">
        <v>125.0726825715879</v>
      </c>
      <c r="N118" s="8"/>
      <c r="O118" s="6" t="s">
        <v>0</v>
      </c>
      <c r="P118" s="6" t="s">
        <v>0</v>
      </c>
      <c r="R118" s="6" t="s">
        <v>0</v>
      </c>
      <c r="S118" s="6" t="s">
        <v>0</v>
      </c>
      <c r="U118" s="6" t="s">
        <v>0</v>
      </c>
      <c r="V118" s="6" t="s">
        <v>0</v>
      </c>
    </row>
    <row r="119" spans="1:22" x14ac:dyDescent="0.3">
      <c r="A119" s="11" t="s">
        <v>144</v>
      </c>
      <c r="B119" s="6" t="s">
        <v>123</v>
      </c>
      <c r="C119" s="7">
        <v>417.05937878411328</v>
      </c>
      <c r="D119" s="6" t="s">
        <v>47</v>
      </c>
      <c r="E119" s="8">
        <v>7.3500000000000005</v>
      </c>
      <c r="F119" s="8">
        <v>3065.3864340632326</v>
      </c>
      <c r="H119" s="9">
        <f t="shared" si="1"/>
        <v>3065.3864340632326</v>
      </c>
      <c r="I119" s="6" t="s">
        <v>0</v>
      </c>
      <c r="J119" s="6" t="s">
        <v>0</v>
      </c>
      <c r="L119" s="6" t="s">
        <v>0</v>
      </c>
      <c r="M119" s="6" t="s">
        <v>0</v>
      </c>
      <c r="O119" s="8">
        <v>7.35</v>
      </c>
      <c r="P119" s="8">
        <v>3065.3864340632326</v>
      </c>
      <c r="Q119" s="8"/>
      <c r="R119" s="6" t="s">
        <v>0</v>
      </c>
      <c r="S119" s="6" t="s">
        <v>0</v>
      </c>
      <c r="U119" s="6" t="s">
        <v>0</v>
      </c>
      <c r="V119" s="6" t="s">
        <v>0</v>
      </c>
    </row>
    <row r="120" spans="1:22" x14ac:dyDescent="0.3">
      <c r="A120" s="11" t="s">
        <v>144</v>
      </c>
      <c r="B120" s="6" t="s">
        <v>124</v>
      </c>
      <c r="C120" s="7">
        <v>33.364750302729057</v>
      </c>
      <c r="D120" s="6" t="s">
        <v>39</v>
      </c>
      <c r="E120" s="8">
        <v>175.48000000000002</v>
      </c>
      <c r="F120" s="8">
        <v>5854.8463831228946</v>
      </c>
      <c r="H120" s="9">
        <f t="shared" si="1"/>
        <v>5854.8463831228946</v>
      </c>
      <c r="I120" s="6" t="s">
        <v>0</v>
      </c>
      <c r="J120" s="6" t="s">
        <v>0</v>
      </c>
      <c r="L120" s="6" t="s">
        <v>0</v>
      </c>
      <c r="M120" s="6" t="s">
        <v>0</v>
      </c>
      <c r="O120" s="8">
        <v>175.48</v>
      </c>
      <c r="P120" s="8">
        <v>5854.8463831228946</v>
      </c>
      <c r="Q120" s="8"/>
      <c r="R120" s="6" t="s">
        <v>0</v>
      </c>
      <c r="S120" s="6" t="s">
        <v>0</v>
      </c>
      <c r="U120" s="6" t="s">
        <v>0</v>
      </c>
      <c r="V120" s="6" t="s">
        <v>0</v>
      </c>
    </row>
    <row r="121" spans="1:22" x14ac:dyDescent="0.3">
      <c r="A121" s="11" t="s">
        <v>144</v>
      </c>
      <c r="B121" s="6" t="s">
        <v>125</v>
      </c>
      <c r="C121" s="7">
        <v>1626.531577258042</v>
      </c>
      <c r="D121" s="6" t="s">
        <v>87</v>
      </c>
      <c r="E121" s="8">
        <v>1.6778</v>
      </c>
      <c r="F121" s="8">
        <v>2728.994680323543</v>
      </c>
      <c r="G121" s="7"/>
      <c r="H121" s="9">
        <f t="shared" si="1"/>
        <v>2728.994680323543</v>
      </c>
      <c r="I121" s="8">
        <v>0.8528</v>
      </c>
      <c r="J121" s="8">
        <v>1387.1061290856583</v>
      </c>
      <c r="K121" s="8"/>
      <c r="L121" s="8">
        <v>0.82500000000000007</v>
      </c>
      <c r="M121" s="8">
        <v>1341.8885512378847</v>
      </c>
      <c r="N121" s="8"/>
      <c r="O121" s="6" t="s">
        <v>0</v>
      </c>
      <c r="P121" s="6" t="s">
        <v>0</v>
      </c>
      <c r="R121" s="6" t="s">
        <v>0</v>
      </c>
      <c r="S121" s="6" t="s">
        <v>0</v>
      </c>
      <c r="U121" s="6" t="s">
        <v>0</v>
      </c>
      <c r="V121" s="6" t="s">
        <v>0</v>
      </c>
    </row>
    <row r="122" spans="1:22" x14ac:dyDescent="0.3">
      <c r="A122" s="11" t="s">
        <v>144</v>
      </c>
      <c r="B122" s="6" t="s">
        <v>128</v>
      </c>
      <c r="C122" s="7">
        <v>286</v>
      </c>
      <c r="D122" s="6" t="s">
        <v>65</v>
      </c>
      <c r="E122" s="8">
        <v>9.9</v>
      </c>
      <c r="F122" s="8">
        <v>2831.4</v>
      </c>
      <c r="H122" s="9">
        <f t="shared" si="1"/>
        <v>2831.4</v>
      </c>
      <c r="I122" s="6" t="s">
        <v>0</v>
      </c>
      <c r="J122" s="6" t="s">
        <v>0</v>
      </c>
      <c r="L122" s="6" t="s">
        <v>0</v>
      </c>
      <c r="M122" s="6" t="s">
        <v>0</v>
      </c>
      <c r="O122" s="8">
        <v>9.9</v>
      </c>
      <c r="P122" s="8">
        <v>2831.4</v>
      </c>
      <c r="Q122" s="8"/>
      <c r="R122" s="6" t="s">
        <v>0</v>
      </c>
      <c r="S122" s="6" t="s">
        <v>0</v>
      </c>
      <c r="U122" s="6" t="s">
        <v>0</v>
      </c>
      <c r="V122" s="6" t="s">
        <v>0</v>
      </c>
    </row>
    <row r="123" spans="1:22" x14ac:dyDescent="0.3">
      <c r="A123" s="11" t="s">
        <v>144</v>
      </c>
      <c r="B123" s="6" t="s">
        <v>145</v>
      </c>
      <c r="C123" s="7">
        <v>290</v>
      </c>
      <c r="D123" s="6" t="s">
        <v>65</v>
      </c>
      <c r="E123" s="8">
        <v>9.4830000000000005</v>
      </c>
      <c r="F123" s="8">
        <v>2750.07</v>
      </c>
      <c r="G123" s="7"/>
      <c r="H123" s="9">
        <f t="shared" si="1"/>
        <v>2750.07</v>
      </c>
      <c r="I123" s="8">
        <v>6.7830000000000004</v>
      </c>
      <c r="J123" s="8">
        <v>1967.0700000000002</v>
      </c>
      <c r="K123" s="8"/>
      <c r="L123" s="8">
        <v>2.7</v>
      </c>
      <c r="M123" s="8">
        <v>783</v>
      </c>
      <c r="N123" s="8"/>
      <c r="O123" s="6" t="s">
        <v>0</v>
      </c>
      <c r="P123" s="6" t="s">
        <v>0</v>
      </c>
      <c r="R123" s="6" t="s">
        <v>0</v>
      </c>
      <c r="S123" s="6" t="s">
        <v>0</v>
      </c>
      <c r="U123" s="6" t="s">
        <v>0</v>
      </c>
      <c r="V123" s="6" t="s">
        <v>0</v>
      </c>
    </row>
    <row r="124" spans="1:22" x14ac:dyDescent="0.3">
      <c r="A124" s="11" t="s">
        <v>144</v>
      </c>
      <c r="B124" s="6" t="s">
        <v>130</v>
      </c>
      <c r="C124" s="7">
        <v>417.05937878411328</v>
      </c>
      <c r="D124" s="6" t="s">
        <v>47</v>
      </c>
      <c r="E124" s="8">
        <v>5.3000000000000007</v>
      </c>
      <c r="F124" s="8">
        <v>2210.4147075558003</v>
      </c>
      <c r="G124" s="7"/>
      <c r="H124" s="9">
        <f t="shared" si="1"/>
        <v>2210.4147075558003</v>
      </c>
      <c r="I124" s="8">
        <v>3.8000000000000003</v>
      </c>
      <c r="J124" s="8">
        <v>1584.8256393796305</v>
      </c>
      <c r="K124" s="8"/>
      <c r="L124" s="8">
        <v>1.5</v>
      </c>
      <c r="M124" s="8">
        <v>625.58906817616992</v>
      </c>
      <c r="N124" s="8"/>
      <c r="O124" s="6" t="s">
        <v>0</v>
      </c>
      <c r="P124" s="6" t="s">
        <v>0</v>
      </c>
      <c r="R124" s="6" t="s">
        <v>0</v>
      </c>
      <c r="S124" s="6" t="s">
        <v>0</v>
      </c>
      <c r="U124" s="6" t="s">
        <v>0</v>
      </c>
      <c r="V124" s="6" t="s">
        <v>0</v>
      </c>
    </row>
    <row r="125" spans="1:22" x14ac:dyDescent="0.3">
      <c r="A125" s="11" t="s">
        <v>144</v>
      </c>
      <c r="B125" s="6" t="s">
        <v>146</v>
      </c>
      <c r="C125" s="7">
        <v>834.11875756822667</v>
      </c>
      <c r="D125" s="6" t="s">
        <v>47</v>
      </c>
      <c r="E125" s="8">
        <v>7.7644000000000002</v>
      </c>
      <c r="F125" s="8">
        <v>6476.4316812627385</v>
      </c>
      <c r="G125" s="7"/>
      <c r="H125" s="9">
        <f t="shared" si="1"/>
        <v>6476.4316812627385</v>
      </c>
      <c r="I125" s="8">
        <v>3.1920000000000002</v>
      </c>
      <c r="J125" s="8">
        <v>2662.5070741577797</v>
      </c>
      <c r="K125" s="8"/>
      <c r="L125" s="8">
        <v>4.5723999999999991</v>
      </c>
      <c r="M125" s="8">
        <v>3813.9246071049593</v>
      </c>
      <c r="N125" s="8"/>
      <c r="O125" s="6" t="s">
        <v>0</v>
      </c>
      <c r="P125" s="6" t="s">
        <v>0</v>
      </c>
      <c r="R125" s="6" t="s">
        <v>0</v>
      </c>
      <c r="S125" s="6" t="s">
        <v>0</v>
      </c>
      <c r="U125" s="6" t="s">
        <v>0</v>
      </c>
      <c r="V125" s="6" t="s">
        <v>0</v>
      </c>
    </row>
    <row r="126" spans="1:22" x14ac:dyDescent="0.3">
      <c r="A126" s="11" t="s">
        <v>147</v>
      </c>
      <c r="B126" s="6" t="s">
        <v>148</v>
      </c>
      <c r="C126" s="7">
        <v>0.8</v>
      </c>
      <c r="D126" s="6" t="s">
        <v>47</v>
      </c>
      <c r="E126" s="8">
        <v>6.6633000000000004</v>
      </c>
      <c r="F126" s="8">
        <v>5.3306400000000007</v>
      </c>
      <c r="G126" s="7"/>
      <c r="H126" s="9">
        <f t="shared" si="1"/>
        <v>5.3306400000000007</v>
      </c>
      <c r="I126" s="8">
        <v>6.6633000000000004</v>
      </c>
      <c r="J126" s="8">
        <v>5.3306400000000007</v>
      </c>
      <c r="K126" s="8"/>
      <c r="L126" s="6" t="s">
        <v>0</v>
      </c>
      <c r="M126" s="6" t="s">
        <v>0</v>
      </c>
      <c r="O126" s="6" t="s">
        <v>0</v>
      </c>
      <c r="P126" s="6" t="s">
        <v>0</v>
      </c>
      <c r="R126" s="6" t="s">
        <v>0</v>
      </c>
      <c r="S126" s="6" t="s">
        <v>0</v>
      </c>
      <c r="U126" s="6" t="s">
        <v>0</v>
      </c>
      <c r="V126" s="6" t="s">
        <v>0</v>
      </c>
    </row>
    <row r="127" spans="1:22" x14ac:dyDescent="0.3">
      <c r="A127" s="11" t="s">
        <v>147</v>
      </c>
      <c r="B127" s="6" t="s">
        <v>149</v>
      </c>
      <c r="C127" s="7">
        <v>0.24</v>
      </c>
      <c r="D127" s="6" t="s">
        <v>39</v>
      </c>
      <c r="E127" s="8">
        <v>163.62</v>
      </c>
      <c r="F127" s="8">
        <v>39.268799999999992</v>
      </c>
      <c r="G127" s="7"/>
      <c r="H127" s="9">
        <f t="shared" si="1"/>
        <v>39.268799999999992</v>
      </c>
      <c r="I127" s="8">
        <v>15.96</v>
      </c>
      <c r="J127" s="8">
        <v>3.8304</v>
      </c>
      <c r="K127" s="8"/>
      <c r="L127" s="8">
        <v>147.65999999999997</v>
      </c>
      <c r="M127" s="8">
        <v>35.438399999999994</v>
      </c>
      <c r="N127" s="8"/>
      <c r="O127" s="6" t="s">
        <v>0</v>
      </c>
      <c r="P127" s="6" t="s">
        <v>0</v>
      </c>
      <c r="R127" s="6" t="s">
        <v>0</v>
      </c>
      <c r="S127" s="6" t="s">
        <v>0</v>
      </c>
      <c r="U127" s="6" t="s">
        <v>0</v>
      </c>
      <c r="V127" s="6" t="s">
        <v>0</v>
      </c>
    </row>
    <row r="128" spans="1:22" x14ac:dyDescent="0.3">
      <c r="A128" s="11" t="s">
        <v>147</v>
      </c>
      <c r="B128" s="6" t="s">
        <v>150</v>
      </c>
      <c r="C128" s="7">
        <v>6.56</v>
      </c>
      <c r="D128" s="6" t="s">
        <v>87</v>
      </c>
      <c r="E128" s="8">
        <v>1.7270000000000001</v>
      </c>
      <c r="F128" s="8">
        <v>11.32912</v>
      </c>
      <c r="G128" s="7"/>
      <c r="H128" s="9">
        <f t="shared" si="1"/>
        <v>11.32912</v>
      </c>
      <c r="I128" s="8">
        <v>0.90200000000000002</v>
      </c>
      <c r="J128" s="8">
        <v>5.9171199999999997</v>
      </c>
      <c r="K128" s="8"/>
      <c r="L128" s="8">
        <v>0.82500000000000007</v>
      </c>
      <c r="M128" s="8">
        <v>5.4119999999999999</v>
      </c>
      <c r="N128" s="8"/>
      <c r="O128" s="6" t="s">
        <v>0</v>
      </c>
      <c r="P128" s="6" t="s">
        <v>0</v>
      </c>
      <c r="R128" s="6" t="s">
        <v>0</v>
      </c>
      <c r="S128" s="6" t="s">
        <v>0</v>
      </c>
      <c r="U128" s="6" t="s">
        <v>0</v>
      </c>
      <c r="V128" s="6" t="s">
        <v>0</v>
      </c>
    </row>
    <row r="129" spans="1:22" x14ac:dyDescent="0.3">
      <c r="A129" s="11" t="s">
        <v>147</v>
      </c>
      <c r="B129" s="6" t="s">
        <v>151</v>
      </c>
      <c r="C129" s="7">
        <v>0.45</v>
      </c>
      <c r="D129" s="6" t="s">
        <v>47</v>
      </c>
      <c r="E129" s="8">
        <v>227.705625</v>
      </c>
      <c r="F129" s="8">
        <v>102.46753124999999</v>
      </c>
      <c r="G129" s="7"/>
      <c r="H129" s="9">
        <f t="shared" si="1"/>
        <v>102.46753124999999</v>
      </c>
      <c r="I129" s="8">
        <v>190</v>
      </c>
      <c r="J129" s="8">
        <v>85.5</v>
      </c>
      <c r="K129" s="8"/>
      <c r="L129" s="8">
        <v>37.705624999999998</v>
      </c>
      <c r="M129" s="8">
        <v>16.96753125</v>
      </c>
      <c r="N129" s="8"/>
      <c r="O129" s="6" t="s">
        <v>0</v>
      </c>
      <c r="P129" s="6" t="s">
        <v>0</v>
      </c>
      <c r="R129" s="6" t="s">
        <v>0</v>
      </c>
      <c r="S129" s="6" t="s">
        <v>0</v>
      </c>
      <c r="U129" s="6" t="s">
        <v>0</v>
      </c>
      <c r="V129" s="6" t="s">
        <v>0</v>
      </c>
    </row>
    <row r="130" spans="1:22" x14ac:dyDescent="0.3">
      <c r="A130" s="11" t="s">
        <v>147</v>
      </c>
      <c r="B130" s="6" t="s">
        <v>152</v>
      </c>
      <c r="C130" s="7">
        <v>14.48599422352601</v>
      </c>
      <c r="D130" s="6" t="s">
        <v>47</v>
      </c>
      <c r="E130" s="8">
        <v>1.1454753722794961E-2</v>
      </c>
      <c r="F130" s="8">
        <v>0.16593349626032086</v>
      </c>
      <c r="H130" s="9">
        <f t="shared" si="1"/>
        <v>0.16593349626032086</v>
      </c>
      <c r="I130" s="6" t="s">
        <v>0</v>
      </c>
      <c r="J130" s="6" t="s">
        <v>0</v>
      </c>
      <c r="L130" s="6" t="s">
        <v>0</v>
      </c>
      <c r="M130" s="6" t="s">
        <v>0</v>
      </c>
      <c r="O130" s="6" t="s">
        <v>0</v>
      </c>
      <c r="P130" s="6" t="s">
        <v>0</v>
      </c>
      <c r="R130" s="6" t="s">
        <v>0</v>
      </c>
      <c r="S130" s="6" t="s">
        <v>0</v>
      </c>
      <c r="U130" s="8">
        <v>1.1454753722794961E-2</v>
      </c>
      <c r="V130" s="8">
        <v>0.16593349626032086</v>
      </c>
    </row>
    <row r="131" spans="1:22" x14ac:dyDescent="0.3">
      <c r="A131" s="11" t="s">
        <v>147</v>
      </c>
      <c r="B131" s="6" t="s">
        <v>153</v>
      </c>
      <c r="C131" s="7">
        <v>14.48599422352601</v>
      </c>
      <c r="D131" s="6" t="s">
        <v>47</v>
      </c>
      <c r="E131" s="8">
        <v>8.3789999999999996</v>
      </c>
      <c r="F131" s="8">
        <v>121.37814559892443</v>
      </c>
      <c r="G131" s="7"/>
      <c r="H131" s="9">
        <f t="shared" si="1"/>
        <v>121.37814559892443</v>
      </c>
      <c r="I131" s="8">
        <v>8.3789999999999996</v>
      </c>
      <c r="J131" s="8">
        <v>121.37814559892443</v>
      </c>
      <c r="K131" s="8"/>
      <c r="L131" s="6" t="s">
        <v>0</v>
      </c>
      <c r="M131" s="6" t="s">
        <v>0</v>
      </c>
      <c r="O131" s="6" t="s">
        <v>0</v>
      </c>
      <c r="P131" s="6" t="s">
        <v>0</v>
      </c>
      <c r="R131" s="6" t="s">
        <v>0</v>
      </c>
      <c r="S131" s="6" t="s">
        <v>0</v>
      </c>
      <c r="U131" s="6" t="s">
        <v>0</v>
      </c>
      <c r="V131" s="6" t="s">
        <v>0</v>
      </c>
    </row>
    <row r="132" spans="1:22" x14ac:dyDescent="0.3">
      <c r="A132" s="11" t="s">
        <v>147</v>
      </c>
      <c r="B132" s="6" t="s">
        <v>154</v>
      </c>
      <c r="C132" s="7">
        <v>2.3177590757641608</v>
      </c>
      <c r="D132" s="6" t="s">
        <v>39</v>
      </c>
      <c r="E132" s="8">
        <v>173.06399999999999</v>
      </c>
      <c r="F132" s="8">
        <v>401.12065668804871</v>
      </c>
      <c r="G132" s="7"/>
      <c r="H132" s="9">
        <f t="shared" ref="H132:H195" si="2">IF(AND(K132="",N132="",Q132="", T132="", W132=""), F132,K132+ N132+Q132+T132+W132)</f>
        <v>401.12065668804871</v>
      </c>
      <c r="I132" s="8">
        <v>14.364000000000001</v>
      </c>
      <c r="J132" s="8">
        <v>33.292291364276409</v>
      </c>
      <c r="K132" s="8"/>
      <c r="L132" s="8">
        <v>158.69999999999999</v>
      </c>
      <c r="M132" s="8">
        <v>367.82836532377229</v>
      </c>
      <c r="N132" s="8"/>
      <c r="O132" s="6" t="s">
        <v>0</v>
      </c>
      <c r="P132" s="6" t="s">
        <v>0</v>
      </c>
      <c r="R132" s="6" t="s">
        <v>0</v>
      </c>
      <c r="S132" s="6" t="s">
        <v>0</v>
      </c>
      <c r="U132" s="6" t="s">
        <v>0</v>
      </c>
      <c r="V132" s="6" t="s">
        <v>0</v>
      </c>
    </row>
    <row r="133" spans="1:22" x14ac:dyDescent="0.3">
      <c r="A133" s="11" t="s">
        <v>147</v>
      </c>
      <c r="B133" s="6" t="s">
        <v>155</v>
      </c>
      <c r="C133" s="7">
        <v>142.943976894104</v>
      </c>
      <c r="D133" s="6" t="s">
        <v>87</v>
      </c>
      <c r="E133" s="8">
        <v>1.6778</v>
      </c>
      <c r="F133" s="8">
        <v>239.83140443292768</v>
      </c>
      <c r="G133" s="7"/>
      <c r="H133" s="9">
        <f t="shared" si="2"/>
        <v>239.83140443292768</v>
      </c>
      <c r="I133" s="8">
        <v>0.8528</v>
      </c>
      <c r="J133" s="8">
        <v>121.90262349529189</v>
      </c>
      <c r="K133" s="8"/>
      <c r="L133" s="8">
        <v>0.82500000000000007</v>
      </c>
      <c r="M133" s="8">
        <v>117.92878093763581</v>
      </c>
      <c r="N133" s="8"/>
      <c r="O133" s="6" t="s">
        <v>0</v>
      </c>
      <c r="P133" s="6" t="s">
        <v>0</v>
      </c>
      <c r="R133" s="6" t="s">
        <v>0</v>
      </c>
      <c r="S133" s="6" t="s">
        <v>0</v>
      </c>
      <c r="U133" s="6" t="s">
        <v>0</v>
      </c>
      <c r="V133" s="6" t="s">
        <v>0</v>
      </c>
    </row>
    <row r="134" spans="1:22" x14ac:dyDescent="0.3">
      <c r="A134" s="11" t="s">
        <v>147</v>
      </c>
      <c r="B134" s="6" t="s">
        <v>156</v>
      </c>
      <c r="C134" s="7">
        <v>14.48599422352601</v>
      </c>
      <c r="D134" s="6" t="s">
        <v>47</v>
      </c>
      <c r="E134" s="8">
        <v>0.5635</v>
      </c>
      <c r="F134" s="8">
        <v>8.1628577449569057</v>
      </c>
      <c r="G134" s="7"/>
      <c r="H134" s="9">
        <f t="shared" si="2"/>
        <v>8.1628577449569057</v>
      </c>
      <c r="I134" s="8">
        <v>0.2185</v>
      </c>
      <c r="J134" s="8">
        <v>3.165189737840433</v>
      </c>
      <c r="K134" s="8"/>
      <c r="L134" s="8">
        <v>0.34499999999999997</v>
      </c>
      <c r="M134" s="8">
        <v>4.9976680071164727</v>
      </c>
      <c r="N134" s="8"/>
      <c r="O134" s="6" t="s">
        <v>0</v>
      </c>
      <c r="P134" s="6" t="s">
        <v>0</v>
      </c>
      <c r="R134" s="6" t="s">
        <v>0</v>
      </c>
      <c r="S134" s="6" t="s">
        <v>0</v>
      </c>
      <c r="U134" s="6" t="s">
        <v>0</v>
      </c>
      <c r="V134" s="6" t="s">
        <v>0</v>
      </c>
    </row>
    <row r="135" spans="1:22" x14ac:dyDescent="0.3">
      <c r="A135" s="11" t="s">
        <v>147</v>
      </c>
      <c r="B135" s="6" t="s">
        <v>157</v>
      </c>
      <c r="C135" s="7">
        <v>7.6</v>
      </c>
      <c r="D135" s="6" t="s">
        <v>47</v>
      </c>
      <c r="E135" s="8">
        <v>94.850999999999999</v>
      </c>
      <c r="F135" s="8">
        <v>720.86759999999992</v>
      </c>
      <c r="G135" s="7"/>
      <c r="H135" s="9">
        <f t="shared" si="2"/>
        <v>720.86759999999992</v>
      </c>
      <c r="I135" s="8">
        <v>79.8</v>
      </c>
      <c r="J135" s="8">
        <v>606.4799999999999</v>
      </c>
      <c r="K135" s="8"/>
      <c r="L135" s="8">
        <v>15.051</v>
      </c>
      <c r="M135" s="8">
        <v>114.38759999999999</v>
      </c>
      <c r="N135" s="8"/>
      <c r="O135" s="6" t="s">
        <v>0</v>
      </c>
      <c r="P135" s="6" t="s">
        <v>0</v>
      </c>
      <c r="R135" s="6" t="s">
        <v>0</v>
      </c>
      <c r="S135" s="6" t="s">
        <v>0</v>
      </c>
      <c r="U135" s="6" t="s">
        <v>0</v>
      </c>
      <c r="V135" s="6" t="s">
        <v>0</v>
      </c>
    </row>
    <row r="136" spans="1:22" x14ac:dyDescent="0.3">
      <c r="A136" s="11" t="s">
        <v>147</v>
      </c>
      <c r="B136" s="6" t="s">
        <v>158</v>
      </c>
      <c r="C136" s="7">
        <v>2.4</v>
      </c>
      <c r="D136" s="6" t="s">
        <v>39</v>
      </c>
      <c r="E136" s="8">
        <v>166.16400000000002</v>
      </c>
      <c r="F136" s="8">
        <v>398.79359999999997</v>
      </c>
      <c r="G136" s="7"/>
      <c r="H136" s="9">
        <f t="shared" si="2"/>
        <v>398.79359999999997</v>
      </c>
      <c r="I136" s="8">
        <v>14.363999999999999</v>
      </c>
      <c r="J136" s="8">
        <v>34.473599999999998</v>
      </c>
      <c r="K136" s="8"/>
      <c r="L136" s="8">
        <v>151.80000000000001</v>
      </c>
      <c r="M136" s="8">
        <v>364.32</v>
      </c>
      <c r="N136" s="8"/>
      <c r="O136" s="6" t="s">
        <v>0</v>
      </c>
      <c r="P136" s="6" t="s">
        <v>0</v>
      </c>
      <c r="R136" s="6" t="s">
        <v>0</v>
      </c>
      <c r="S136" s="6" t="s">
        <v>0</v>
      </c>
      <c r="U136" s="6" t="s">
        <v>0</v>
      </c>
      <c r="V136" s="6" t="s">
        <v>0</v>
      </c>
    </row>
    <row r="137" spans="1:22" x14ac:dyDescent="0.3">
      <c r="A137" s="11" t="s">
        <v>147</v>
      </c>
      <c r="B137" s="6" t="s">
        <v>159</v>
      </c>
      <c r="C137" s="7">
        <v>14.48599422352601</v>
      </c>
      <c r="D137" s="6" t="s">
        <v>47</v>
      </c>
      <c r="E137" s="8">
        <v>9.65</v>
      </c>
      <c r="F137" s="8">
        <v>139.789844257026</v>
      </c>
      <c r="G137" s="7"/>
      <c r="H137" s="9">
        <f t="shared" si="2"/>
        <v>139.789844257026</v>
      </c>
      <c r="I137" s="8">
        <v>6.3840000000000003</v>
      </c>
      <c r="J137" s="8">
        <v>92.478587122990049</v>
      </c>
      <c r="K137" s="8"/>
      <c r="L137" s="8">
        <v>3.266</v>
      </c>
      <c r="M137" s="8">
        <v>47.311257134035948</v>
      </c>
      <c r="N137" s="8"/>
      <c r="O137" s="6" t="s">
        <v>0</v>
      </c>
      <c r="P137" s="6" t="s">
        <v>0</v>
      </c>
      <c r="R137" s="6" t="s">
        <v>0</v>
      </c>
      <c r="S137" s="6" t="s">
        <v>0</v>
      </c>
      <c r="U137" s="6" t="s">
        <v>0</v>
      </c>
      <c r="V137" s="6" t="s">
        <v>0</v>
      </c>
    </row>
    <row r="138" spans="1:22" x14ac:dyDescent="0.3">
      <c r="A138" s="11" t="s">
        <v>147</v>
      </c>
      <c r="B138" s="6" t="s">
        <v>160</v>
      </c>
      <c r="C138" s="7">
        <v>14.48599422352601</v>
      </c>
      <c r="D138" s="6" t="s">
        <v>47</v>
      </c>
      <c r="E138" s="8">
        <v>12.916</v>
      </c>
      <c r="F138" s="8">
        <v>187.10110139106195</v>
      </c>
      <c r="G138" s="7"/>
      <c r="H138" s="9">
        <f t="shared" si="2"/>
        <v>187.10110139106195</v>
      </c>
      <c r="I138" s="8">
        <v>6.3840000000000003</v>
      </c>
      <c r="J138" s="8">
        <v>92.478587122990049</v>
      </c>
      <c r="K138" s="8"/>
      <c r="L138" s="8">
        <v>6.532</v>
      </c>
      <c r="M138" s="8">
        <v>94.622514268071896</v>
      </c>
      <c r="N138" s="8"/>
      <c r="O138" s="6" t="s">
        <v>0</v>
      </c>
      <c r="P138" s="6" t="s">
        <v>0</v>
      </c>
      <c r="R138" s="6" t="s">
        <v>0</v>
      </c>
      <c r="S138" s="6" t="s">
        <v>0</v>
      </c>
      <c r="U138" s="6" t="s">
        <v>0</v>
      </c>
      <c r="V138" s="6" t="s">
        <v>0</v>
      </c>
    </row>
    <row r="139" spans="1:22" x14ac:dyDescent="0.3">
      <c r="A139" s="11" t="s">
        <v>147</v>
      </c>
      <c r="B139" s="6" t="s">
        <v>161</v>
      </c>
      <c r="C139" s="7">
        <v>4</v>
      </c>
      <c r="D139" s="6" t="s">
        <v>45</v>
      </c>
      <c r="E139" s="8">
        <v>0.25</v>
      </c>
      <c r="F139" s="8">
        <v>1</v>
      </c>
      <c r="H139" s="9">
        <f t="shared" si="2"/>
        <v>1</v>
      </c>
      <c r="I139" s="6" t="s">
        <v>0</v>
      </c>
      <c r="J139" s="6" t="s">
        <v>0</v>
      </c>
      <c r="L139" s="6" t="s">
        <v>0</v>
      </c>
      <c r="M139" s="6" t="s">
        <v>0</v>
      </c>
      <c r="O139" s="6" t="s">
        <v>0</v>
      </c>
      <c r="P139" s="6" t="s">
        <v>0</v>
      </c>
      <c r="R139" s="6" t="s">
        <v>0</v>
      </c>
      <c r="S139" s="6" t="s">
        <v>0</v>
      </c>
      <c r="U139" s="8">
        <v>0.25</v>
      </c>
      <c r="V139" s="8">
        <v>1</v>
      </c>
    </row>
    <row r="140" spans="1:22" x14ac:dyDescent="0.3">
      <c r="A140" s="11" t="s">
        <v>147</v>
      </c>
      <c r="B140" s="6" t="s">
        <v>162</v>
      </c>
      <c r="C140" s="7">
        <v>161.28</v>
      </c>
      <c r="D140" s="6" t="s">
        <v>87</v>
      </c>
      <c r="E140" s="8">
        <v>6.3637199999999989</v>
      </c>
      <c r="F140" s="8">
        <v>1026.3407616</v>
      </c>
      <c r="H140" s="9">
        <f t="shared" si="2"/>
        <v>1026.3407616</v>
      </c>
      <c r="I140" s="6" t="s">
        <v>0</v>
      </c>
      <c r="J140" s="6" t="s">
        <v>0</v>
      </c>
      <c r="L140" s="8">
        <v>6.3637199999999998</v>
      </c>
      <c r="M140" s="8">
        <v>1026.3407616</v>
      </c>
      <c r="N140" s="8"/>
      <c r="O140" s="6" t="s">
        <v>0</v>
      </c>
      <c r="P140" s="6" t="s">
        <v>0</v>
      </c>
      <c r="R140" s="6" t="s">
        <v>0</v>
      </c>
      <c r="S140" s="6" t="s">
        <v>0</v>
      </c>
      <c r="U140" s="6" t="s">
        <v>0</v>
      </c>
      <c r="V140" s="6" t="s">
        <v>0</v>
      </c>
    </row>
    <row r="141" spans="1:22" x14ac:dyDescent="0.3">
      <c r="A141" s="11" t="s">
        <v>147</v>
      </c>
      <c r="B141" s="6" t="s">
        <v>163</v>
      </c>
      <c r="C141" s="7">
        <v>4</v>
      </c>
      <c r="D141" s="6" t="s">
        <v>45</v>
      </c>
      <c r="E141" s="8">
        <v>10.924999999999999</v>
      </c>
      <c r="F141" s="8">
        <v>43.699999999999996</v>
      </c>
      <c r="G141" s="7"/>
      <c r="H141" s="9">
        <f t="shared" si="2"/>
        <v>43.699999999999996</v>
      </c>
      <c r="I141" s="8">
        <v>10.924999999999999</v>
      </c>
      <c r="J141" s="8">
        <v>43.699999999999996</v>
      </c>
      <c r="K141" s="8"/>
      <c r="L141" s="6" t="s">
        <v>0</v>
      </c>
      <c r="M141" s="6" t="s">
        <v>0</v>
      </c>
      <c r="O141" s="6" t="s">
        <v>0</v>
      </c>
      <c r="P141" s="6" t="s">
        <v>0</v>
      </c>
      <c r="R141" s="6" t="s">
        <v>0</v>
      </c>
      <c r="S141" s="6" t="s">
        <v>0</v>
      </c>
      <c r="U141" s="6" t="s">
        <v>0</v>
      </c>
      <c r="V141" s="6" t="s">
        <v>0</v>
      </c>
    </row>
    <row r="142" spans="1:22" x14ac:dyDescent="0.3">
      <c r="A142" s="11" t="s">
        <v>147</v>
      </c>
      <c r="B142" s="6" t="s">
        <v>164</v>
      </c>
      <c r="C142" s="7">
        <v>7.3200000000000012</v>
      </c>
      <c r="D142" s="6" t="s">
        <v>47</v>
      </c>
      <c r="E142" s="8">
        <v>36.185000000000002</v>
      </c>
      <c r="F142" s="8">
        <v>264.87420000000009</v>
      </c>
      <c r="G142" s="7"/>
      <c r="H142" s="9">
        <f t="shared" si="2"/>
        <v>264.87420000000009</v>
      </c>
      <c r="I142" s="8">
        <v>15.200000000000001</v>
      </c>
      <c r="J142" s="8">
        <v>111.26400000000002</v>
      </c>
      <c r="K142" s="8"/>
      <c r="L142" s="8">
        <v>20.985000000000003</v>
      </c>
      <c r="M142" s="8">
        <v>153.61020000000005</v>
      </c>
      <c r="N142" s="8"/>
      <c r="O142" s="6" t="s">
        <v>0</v>
      </c>
      <c r="P142" s="6" t="s">
        <v>0</v>
      </c>
      <c r="R142" s="6" t="s">
        <v>0</v>
      </c>
      <c r="S142" s="6" t="s">
        <v>0</v>
      </c>
      <c r="U142" s="6" t="s">
        <v>0</v>
      </c>
      <c r="V142" s="6" t="s">
        <v>0</v>
      </c>
    </row>
    <row r="143" spans="1:22" x14ac:dyDescent="0.3">
      <c r="A143" s="11" t="s">
        <v>147</v>
      </c>
      <c r="B143" s="6" t="s">
        <v>165</v>
      </c>
      <c r="C143" s="7">
        <v>12</v>
      </c>
      <c r="D143" s="6" t="s">
        <v>65</v>
      </c>
      <c r="E143" s="8">
        <v>8.8449999999999989</v>
      </c>
      <c r="F143" s="8">
        <v>106.14</v>
      </c>
      <c r="G143" s="7"/>
      <c r="H143" s="9">
        <f t="shared" si="2"/>
        <v>106.14</v>
      </c>
      <c r="I143" s="8">
        <v>5.7</v>
      </c>
      <c r="J143" s="8">
        <v>68.400000000000006</v>
      </c>
      <c r="K143" s="8"/>
      <c r="L143" s="8">
        <v>3.1449999999999996</v>
      </c>
      <c r="M143" s="8">
        <v>37.739999999999995</v>
      </c>
      <c r="N143" s="8"/>
      <c r="O143" s="6" t="s">
        <v>0</v>
      </c>
      <c r="P143" s="6" t="s">
        <v>0</v>
      </c>
      <c r="R143" s="6" t="s">
        <v>0</v>
      </c>
      <c r="S143" s="6" t="s">
        <v>0</v>
      </c>
      <c r="U143" s="6" t="s">
        <v>0</v>
      </c>
      <c r="V143" s="6" t="s">
        <v>0</v>
      </c>
    </row>
    <row r="144" spans="1:22" x14ac:dyDescent="0.3">
      <c r="A144" s="11" t="s">
        <v>147</v>
      </c>
      <c r="B144" s="6" t="s">
        <v>166</v>
      </c>
      <c r="C144" s="7">
        <v>12</v>
      </c>
      <c r="D144" s="6" t="s">
        <v>47</v>
      </c>
      <c r="E144" s="8">
        <v>11.75</v>
      </c>
      <c r="F144" s="8">
        <v>141</v>
      </c>
      <c r="G144" s="7"/>
      <c r="H144" s="9">
        <f t="shared" si="2"/>
        <v>141</v>
      </c>
      <c r="I144" s="8">
        <v>5.7</v>
      </c>
      <c r="J144" s="8">
        <v>68.400000000000006</v>
      </c>
      <c r="K144" s="8"/>
      <c r="L144" s="8">
        <v>6.05</v>
      </c>
      <c r="M144" s="8">
        <v>72.599999999999994</v>
      </c>
      <c r="N144" s="8"/>
      <c r="O144" s="6" t="s">
        <v>0</v>
      </c>
      <c r="P144" s="6" t="s">
        <v>0</v>
      </c>
      <c r="R144" s="6" t="s">
        <v>0</v>
      </c>
      <c r="S144" s="6" t="s">
        <v>0</v>
      </c>
      <c r="U144" s="6" t="s">
        <v>0</v>
      </c>
      <c r="V144" s="6" t="s">
        <v>0</v>
      </c>
    </row>
    <row r="145" spans="1:22" x14ac:dyDescent="0.3">
      <c r="A145" s="11" t="s">
        <v>147</v>
      </c>
      <c r="B145" s="6" t="s">
        <v>167</v>
      </c>
      <c r="C145" s="7">
        <v>13.45701579492823</v>
      </c>
      <c r="D145" s="6" t="s">
        <v>47</v>
      </c>
      <c r="E145" s="8">
        <v>14.294999999999998</v>
      </c>
      <c r="F145" s="8">
        <v>192.36804078849903</v>
      </c>
      <c r="G145" s="7"/>
      <c r="H145" s="9">
        <f t="shared" si="2"/>
        <v>192.36804078849903</v>
      </c>
      <c r="I145" s="8">
        <v>4.5599999999999996</v>
      </c>
      <c r="J145" s="8">
        <v>61.363992024872722</v>
      </c>
      <c r="K145" s="8"/>
      <c r="L145" s="8">
        <v>9.7349999999999994</v>
      </c>
      <c r="M145" s="8">
        <v>131.00404876362632</v>
      </c>
      <c r="N145" s="8"/>
      <c r="O145" s="6" t="s">
        <v>0</v>
      </c>
      <c r="P145" s="6" t="s">
        <v>0</v>
      </c>
      <c r="R145" s="6" t="s">
        <v>0</v>
      </c>
      <c r="S145" s="6" t="s">
        <v>0</v>
      </c>
      <c r="U145" s="6" t="s">
        <v>0</v>
      </c>
      <c r="V145" s="6" t="s">
        <v>0</v>
      </c>
    </row>
    <row r="146" spans="1:22" x14ac:dyDescent="0.3">
      <c r="A146" s="11" t="s">
        <v>147</v>
      </c>
      <c r="B146" s="6" t="s">
        <v>168</v>
      </c>
      <c r="C146" s="7">
        <v>176.8</v>
      </c>
      <c r="D146" s="6" t="s">
        <v>87</v>
      </c>
      <c r="E146" s="8">
        <v>3.6</v>
      </c>
      <c r="F146" s="8">
        <v>636.48</v>
      </c>
      <c r="H146" s="9">
        <f t="shared" si="2"/>
        <v>636.48</v>
      </c>
      <c r="I146" s="6" t="s">
        <v>0</v>
      </c>
      <c r="J146" s="6" t="s">
        <v>0</v>
      </c>
      <c r="L146" s="6" t="s">
        <v>0</v>
      </c>
      <c r="M146" s="6" t="s">
        <v>0</v>
      </c>
      <c r="O146" s="8">
        <v>3.6</v>
      </c>
      <c r="P146" s="8">
        <v>636.48</v>
      </c>
      <c r="Q146" s="8"/>
      <c r="R146" s="6" t="s">
        <v>0</v>
      </c>
      <c r="S146" s="6" t="s">
        <v>0</v>
      </c>
      <c r="U146" s="6" t="s">
        <v>0</v>
      </c>
      <c r="V146" s="6" t="s">
        <v>0</v>
      </c>
    </row>
    <row r="147" spans="1:22" x14ac:dyDescent="0.3">
      <c r="A147" s="11" t="s">
        <v>147</v>
      </c>
      <c r="B147" s="6" t="s">
        <v>169</v>
      </c>
      <c r="C147" s="7">
        <v>78.5</v>
      </c>
      <c r="D147" s="6" t="s">
        <v>87</v>
      </c>
      <c r="E147" s="8">
        <v>4.0246284501061567</v>
      </c>
      <c r="F147" s="8">
        <v>315.93333333333334</v>
      </c>
      <c r="H147" s="9">
        <f t="shared" si="2"/>
        <v>315.93333333333334</v>
      </c>
      <c r="I147" s="6" t="s">
        <v>0</v>
      </c>
      <c r="J147" s="6" t="s">
        <v>0</v>
      </c>
      <c r="L147" s="6" t="s">
        <v>0</v>
      </c>
      <c r="M147" s="6" t="s">
        <v>0</v>
      </c>
      <c r="O147" s="8">
        <v>4.0246284501061576</v>
      </c>
      <c r="P147" s="8">
        <v>315.93333333333334</v>
      </c>
      <c r="Q147" s="8"/>
      <c r="R147" s="6" t="s">
        <v>0</v>
      </c>
      <c r="S147" s="6" t="s">
        <v>0</v>
      </c>
      <c r="U147" s="6" t="s">
        <v>0</v>
      </c>
      <c r="V147" s="6" t="s">
        <v>0</v>
      </c>
    </row>
    <row r="148" spans="1:22" x14ac:dyDescent="0.3">
      <c r="A148" s="11" t="s">
        <v>147</v>
      </c>
      <c r="B148" s="6" t="s">
        <v>170</v>
      </c>
      <c r="C148" s="7">
        <v>141.345</v>
      </c>
      <c r="D148" s="6" t="s">
        <v>87</v>
      </c>
      <c r="E148" s="8">
        <v>3.6</v>
      </c>
      <c r="F148" s="8">
        <v>508.84199999999998</v>
      </c>
      <c r="H148" s="9">
        <f t="shared" si="2"/>
        <v>508.84199999999998</v>
      </c>
      <c r="I148" s="6" t="s">
        <v>0</v>
      </c>
      <c r="J148" s="6" t="s">
        <v>0</v>
      </c>
      <c r="L148" s="6" t="s">
        <v>0</v>
      </c>
      <c r="M148" s="6" t="s">
        <v>0</v>
      </c>
      <c r="O148" s="8">
        <v>3.6</v>
      </c>
      <c r="P148" s="8">
        <v>508.84199999999998</v>
      </c>
      <c r="Q148" s="8"/>
      <c r="R148" s="6" t="s">
        <v>0</v>
      </c>
      <c r="S148" s="6" t="s">
        <v>0</v>
      </c>
      <c r="U148" s="6" t="s">
        <v>0</v>
      </c>
      <c r="V148" s="6" t="s">
        <v>0</v>
      </c>
    </row>
    <row r="149" spans="1:22" x14ac:dyDescent="0.3">
      <c r="A149" s="11" t="s">
        <v>147</v>
      </c>
      <c r="B149" s="6" t="s">
        <v>171</v>
      </c>
      <c r="C149" s="7">
        <v>4</v>
      </c>
      <c r="D149" s="6" t="s">
        <v>45</v>
      </c>
      <c r="E149" s="8">
        <v>49.4</v>
      </c>
      <c r="F149" s="8">
        <v>197.6</v>
      </c>
      <c r="G149" s="7"/>
      <c r="H149" s="9">
        <f t="shared" si="2"/>
        <v>197.6</v>
      </c>
      <c r="I149" s="8">
        <v>49.4</v>
      </c>
      <c r="J149" s="8">
        <v>197.6</v>
      </c>
      <c r="K149" s="8"/>
      <c r="L149" s="6" t="s">
        <v>0</v>
      </c>
      <c r="M149" s="6" t="s">
        <v>0</v>
      </c>
      <c r="O149" s="6" t="s">
        <v>0</v>
      </c>
      <c r="P149" s="6" t="s">
        <v>0</v>
      </c>
      <c r="R149" s="6" t="s">
        <v>0</v>
      </c>
      <c r="S149" s="6" t="s">
        <v>0</v>
      </c>
      <c r="U149" s="6" t="s">
        <v>0</v>
      </c>
      <c r="V149" s="6" t="s">
        <v>0</v>
      </c>
    </row>
    <row r="150" spans="1:22" x14ac:dyDescent="0.3">
      <c r="A150" s="11" t="s">
        <v>147</v>
      </c>
      <c r="B150" s="6" t="s">
        <v>172</v>
      </c>
      <c r="C150" s="7">
        <v>21</v>
      </c>
      <c r="D150" s="6" t="s">
        <v>45</v>
      </c>
      <c r="E150" s="8">
        <v>10</v>
      </c>
      <c r="F150" s="8">
        <v>210</v>
      </c>
      <c r="H150" s="9">
        <f t="shared" si="2"/>
        <v>210</v>
      </c>
      <c r="I150" s="6" t="s">
        <v>0</v>
      </c>
      <c r="J150" s="6" t="s">
        <v>0</v>
      </c>
      <c r="L150" s="6" t="s">
        <v>0</v>
      </c>
      <c r="M150" s="6" t="s">
        <v>0</v>
      </c>
      <c r="O150" s="8">
        <v>10</v>
      </c>
      <c r="P150" s="8">
        <v>210</v>
      </c>
      <c r="Q150" s="8"/>
      <c r="R150" s="6" t="s">
        <v>0</v>
      </c>
      <c r="S150" s="6" t="s">
        <v>0</v>
      </c>
      <c r="U150" s="6" t="s">
        <v>0</v>
      </c>
      <c r="V150" s="6" t="s">
        <v>0</v>
      </c>
    </row>
    <row r="151" spans="1:22" x14ac:dyDescent="0.3">
      <c r="A151" s="11" t="s">
        <v>147</v>
      </c>
      <c r="B151" s="6" t="s">
        <v>173</v>
      </c>
      <c r="C151" s="7">
        <v>16.008294720971211</v>
      </c>
      <c r="D151" s="6" t="s">
        <v>47</v>
      </c>
      <c r="E151" s="8">
        <v>8.3559999999999999</v>
      </c>
      <c r="F151" s="8">
        <v>133.76531068843545</v>
      </c>
      <c r="G151" s="7"/>
      <c r="H151" s="9">
        <f t="shared" si="2"/>
        <v>133.76531068843545</v>
      </c>
      <c r="I151" s="8">
        <v>5.7</v>
      </c>
      <c r="J151" s="8">
        <v>91.247279909535905</v>
      </c>
      <c r="K151" s="8"/>
      <c r="L151" s="8">
        <v>2.6560000000000001</v>
      </c>
      <c r="M151" s="8">
        <v>42.518030778899536</v>
      </c>
      <c r="N151" s="8"/>
      <c r="O151" s="6" t="s">
        <v>0</v>
      </c>
      <c r="P151" s="6" t="s">
        <v>0</v>
      </c>
      <c r="R151" s="6" t="s">
        <v>0</v>
      </c>
      <c r="S151" s="6" t="s">
        <v>0</v>
      </c>
      <c r="U151" s="6" t="s">
        <v>0</v>
      </c>
      <c r="V151" s="6" t="s">
        <v>0</v>
      </c>
    </row>
    <row r="152" spans="1:22" x14ac:dyDescent="0.3">
      <c r="A152" s="11" t="s">
        <v>147</v>
      </c>
      <c r="B152" s="6" t="s">
        <v>174</v>
      </c>
      <c r="C152" s="7">
        <v>8</v>
      </c>
      <c r="D152" s="6" t="s">
        <v>45</v>
      </c>
      <c r="E152" s="8">
        <v>19.950000000000003</v>
      </c>
      <c r="F152" s="8">
        <v>159.60000000000002</v>
      </c>
      <c r="G152" s="7"/>
      <c r="H152" s="9">
        <f t="shared" si="2"/>
        <v>159.60000000000002</v>
      </c>
      <c r="I152" s="8">
        <v>10.450000000000001</v>
      </c>
      <c r="J152" s="8">
        <v>83.600000000000009</v>
      </c>
      <c r="K152" s="8"/>
      <c r="L152" s="8">
        <v>9.5</v>
      </c>
      <c r="M152" s="8">
        <v>76</v>
      </c>
      <c r="N152" s="8"/>
      <c r="O152" s="6" t="s">
        <v>0</v>
      </c>
      <c r="P152" s="6" t="s">
        <v>0</v>
      </c>
      <c r="R152" s="6" t="s">
        <v>0</v>
      </c>
      <c r="S152" s="6" t="s">
        <v>0</v>
      </c>
      <c r="U152" s="6" t="s">
        <v>0</v>
      </c>
      <c r="V152" s="6" t="s">
        <v>0</v>
      </c>
    </row>
    <row r="153" spans="1:22" x14ac:dyDescent="0.3">
      <c r="A153" s="11" t="s">
        <v>147</v>
      </c>
      <c r="B153" s="6" t="s">
        <v>175</v>
      </c>
      <c r="C153" s="7">
        <v>16.008294720971211</v>
      </c>
      <c r="D153" s="6" t="s">
        <v>47</v>
      </c>
      <c r="E153" s="8">
        <v>15.596</v>
      </c>
      <c r="F153" s="8">
        <v>249.665364468267</v>
      </c>
      <c r="G153" s="7"/>
      <c r="H153" s="9">
        <f t="shared" si="2"/>
        <v>249.665364468267</v>
      </c>
      <c r="I153" s="8">
        <v>5.016</v>
      </c>
      <c r="J153" s="8">
        <v>80.297606320391594</v>
      </c>
      <c r="K153" s="8"/>
      <c r="L153" s="8">
        <v>10.58</v>
      </c>
      <c r="M153" s="8">
        <v>169.36775814787541</v>
      </c>
      <c r="N153" s="8"/>
      <c r="O153" s="6" t="s">
        <v>0</v>
      </c>
      <c r="P153" s="6" t="s">
        <v>0</v>
      </c>
      <c r="R153" s="6" t="s">
        <v>0</v>
      </c>
      <c r="S153" s="6" t="s">
        <v>0</v>
      </c>
      <c r="U153" s="6" t="s">
        <v>0</v>
      </c>
      <c r="V153" s="6" t="s">
        <v>0</v>
      </c>
    </row>
    <row r="154" spans="1:22" x14ac:dyDescent="0.3">
      <c r="A154" s="11" t="s">
        <v>147</v>
      </c>
      <c r="B154" s="6" t="s">
        <v>176</v>
      </c>
      <c r="C154" s="7">
        <v>16.008294720971211</v>
      </c>
      <c r="D154" s="6" t="s">
        <v>47</v>
      </c>
      <c r="E154" s="8">
        <v>29.4</v>
      </c>
      <c r="F154" s="8">
        <v>470.6438647965536</v>
      </c>
      <c r="H154" s="9">
        <f t="shared" si="2"/>
        <v>470.6438647965536</v>
      </c>
      <c r="I154" s="6" t="s">
        <v>0</v>
      </c>
      <c r="J154" s="6" t="s">
        <v>0</v>
      </c>
      <c r="L154" s="6" t="s">
        <v>0</v>
      </c>
      <c r="M154" s="6" t="s">
        <v>0</v>
      </c>
      <c r="O154" s="8">
        <v>29.4</v>
      </c>
      <c r="P154" s="8">
        <v>470.6438647965536</v>
      </c>
      <c r="Q154" s="8"/>
      <c r="R154" s="6" t="s">
        <v>0</v>
      </c>
      <c r="S154" s="6" t="s">
        <v>0</v>
      </c>
      <c r="U154" s="6" t="s">
        <v>0</v>
      </c>
      <c r="V154" s="6" t="s">
        <v>0</v>
      </c>
    </row>
    <row r="155" spans="1:22" x14ac:dyDescent="0.3">
      <c r="A155" s="11" t="s">
        <v>177</v>
      </c>
      <c r="B155" s="6" t="s">
        <v>178</v>
      </c>
      <c r="C155" s="7">
        <v>7</v>
      </c>
      <c r="D155" s="6" t="s">
        <v>45</v>
      </c>
      <c r="E155" s="8">
        <v>133</v>
      </c>
      <c r="F155" s="8">
        <v>931</v>
      </c>
      <c r="G155" s="7"/>
      <c r="H155" s="9">
        <f t="shared" si="2"/>
        <v>931</v>
      </c>
      <c r="I155" s="8">
        <v>133</v>
      </c>
      <c r="J155" s="8">
        <v>931</v>
      </c>
      <c r="K155" s="8"/>
      <c r="L155" s="6" t="s">
        <v>0</v>
      </c>
      <c r="M155" s="6" t="s">
        <v>0</v>
      </c>
      <c r="O155" s="6" t="s">
        <v>0</v>
      </c>
      <c r="P155" s="6" t="s">
        <v>0</v>
      </c>
      <c r="R155" s="6" t="s">
        <v>0</v>
      </c>
      <c r="S155" s="6" t="s">
        <v>0</v>
      </c>
      <c r="U155" s="6" t="s">
        <v>0</v>
      </c>
      <c r="V155" s="6" t="s">
        <v>0</v>
      </c>
    </row>
    <row r="156" spans="1:22" x14ac:dyDescent="0.3">
      <c r="A156" s="11" t="s">
        <v>177</v>
      </c>
      <c r="B156" s="6" t="s">
        <v>179</v>
      </c>
      <c r="C156" s="7">
        <v>7</v>
      </c>
      <c r="D156" s="6" t="s">
        <v>45</v>
      </c>
      <c r="E156" s="8">
        <v>1571.4285714285716</v>
      </c>
      <c r="F156" s="8">
        <v>11000</v>
      </c>
      <c r="H156" s="9">
        <f t="shared" si="2"/>
        <v>11000</v>
      </c>
      <c r="I156" s="6" t="s">
        <v>0</v>
      </c>
      <c r="J156" s="6" t="s">
        <v>0</v>
      </c>
      <c r="L156" s="8">
        <v>1571.4285714285713</v>
      </c>
      <c r="M156" s="8">
        <v>11000</v>
      </c>
      <c r="N156" s="8"/>
      <c r="O156" s="6" t="s">
        <v>0</v>
      </c>
      <c r="P156" s="6" t="s">
        <v>0</v>
      </c>
      <c r="R156" s="6" t="s">
        <v>0</v>
      </c>
      <c r="S156" s="6" t="s">
        <v>0</v>
      </c>
      <c r="U156" s="6" t="s">
        <v>0</v>
      </c>
      <c r="V156" s="6" t="s">
        <v>0</v>
      </c>
    </row>
    <row r="157" spans="1:22" x14ac:dyDescent="0.3">
      <c r="A157" s="11" t="s">
        <v>177</v>
      </c>
      <c r="B157" s="6" t="s">
        <v>180</v>
      </c>
      <c r="C157" s="7">
        <v>12</v>
      </c>
      <c r="D157" s="6" t="s">
        <v>45</v>
      </c>
      <c r="E157" s="8">
        <v>30.400000000000002</v>
      </c>
      <c r="F157" s="8">
        <v>364.8</v>
      </c>
      <c r="G157" s="7"/>
      <c r="H157" s="9">
        <f t="shared" si="2"/>
        <v>364.8</v>
      </c>
      <c r="I157" s="8">
        <v>30.400000000000002</v>
      </c>
      <c r="J157" s="8">
        <v>364.8</v>
      </c>
      <c r="K157" s="8"/>
      <c r="L157" s="6" t="s">
        <v>0</v>
      </c>
      <c r="M157" s="6" t="s">
        <v>0</v>
      </c>
      <c r="O157" s="6" t="s">
        <v>0</v>
      </c>
      <c r="P157" s="6" t="s">
        <v>0</v>
      </c>
      <c r="R157" s="6" t="s">
        <v>0</v>
      </c>
      <c r="S157" s="6" t="s">
        <v>0</v>
      </c>
      <c r="U157" s="6" t="s">
        <v>0</v>
      </c>
      <c r="V157" s="6" t="s">
        <v>0</v>
      </c>
    </row>
    <row r="158" spans="1:22" x14ac:dyDescent="0.3">
      <c r="A158" s="11" t="s">
        <v>177</v>
      </c>
      <c r="B158" s="6" t="s">
        <v>181</v>
      </c>
      <c r="C158" s="7">
        <v>10</v>
      </c>
      <c r="D158" s="6" t="s">
        <v>45</v>
      </c>
      <c r="E158" s="8">
        <v>170</v>
      </c>
      <c r="F158" s="8">
        <v>1700</v>
      </c>
      <c r="H158" s="9">
        <f t="shared" si="2"/>
        <v>1700</v>
      </c>
      <c r="I158" s="6" t="s">
        <v>0</v>
      </c>
      <c r="J158" s="6" t="s">
        <v>0</v>
      </c>
      <c r="L158" s="8">
        <v>170</v>
      </c>
      <c r="M158" s="8">
        <v>1700</v>
      </c>
      <c r="N158" s="8"/>
      <c r="O158" s="6" t="s">
        <v>0</v>
      </c>
      <c r="P158" s="6" t="s">
        <v>0</v>
      </c>
      <c r="R158" s="6" t="s">
        <v>0</v>
      </c>
      <c r="S158" s="6" t="s">
        <v>0</v>
      </c>
      <c r="U158" s="6" t="s">
        <v>0</v>
      </c>
      <c r="V158" s="6" t="s">
        <v>0</v>
      </c>
    </row>
    <row r="159" spans="1:22" x14ac:dyDescent="0.3">
      <c r="A159" s="11" t="s">
        <v>177</v>
      </c>
      <c r="B159" s="6" t="s">
        <v>182</v>
      </c>
      <c r="C159" s="7">
        <v>2</v>
      </c>
      <c r="D159" s="6" t="s">
        <v>45</v>
      </c>
      <c r="E159" s="8">
        <v>165</v>
      </c>
      <c r="F159" s="8">
        <v>330</v>
      </c>
      <c r="H159" s="9">
        <f t="shared" si="2"/>
        <v>330</v>
      </c>
      <c r="I159" s="6" t="s">
        <v>0</v>
      </c>
      <c r="J159" s="6" t="s">
        <v>0</v>
      </c>
      <c r="L159" s="8">
        <v>165</v>
      </c>
      <c r="M159" s="8">
        <v>330</v>
      </c>
      <c r="N159" s="8"/>
      <c r="O159" s="6" t="s">
        <v>0</v>
      </c>
      <c r="P159" s="6" t="s">
        <v>0</v>
      </c>
      <c r="R159" s="6" t="s">
        <v>0</v>
      </c>
      <c r="S159" s="6" t="s">
        <v>0</v>
      </c>
      <c r="U159" s="6" t="s">
        <v>0</v>
      </c>
      <c r="V159" s="6" t="s">
        <v>0</v>
      </c>
    </row>
    <row r="160" spans="1:22" x14ac:dyDescent="0.3">
      <c r="A160" s="11" t="s">
        <v>183</v>
      </c>
      <c r="B160" s="6" t="s">
        <v>184</v>
      </c>
      <c r="C160" s="7">
        <v>119</v>
      </c>
      <c r="D160" s="6" t="s">
        <v>45</v>
      </c>
      <c r="E160" s="8">
        <v>149.76999999999998</v>
      </c>
      <c r="F160" s="8">
        <v>17822.63</v>
      </c>
      <c r="G160" s="7"/>
      <c r="H160" s="9">
        <f t="shared" si="2"/>
        <v>17822.63</v>
      </c>
      <c r="I160" s="8">
        <v>100.32000000000002</v>
      </c>
      <c r="J160" s="8">
        <v>11938.080000000002</v>
      </c>
      <c r="K160" s="8"/>
      <c r="L160" s="8">
        <v>41.949999999999996</v>
      </c>
      <c r="M160" s="8">
        <v>4992.0499999999993</v>
      </c>
      <c r="N160" s="8"/>
      <c r="O160" s="6" t="s">
        <v>0</v>
      </c>
      <c r="P160" s="6" t="s">
        <v>0</v>
      </c>
      <c r="R160" s="8">
        <v>7.5</v>
      </c>
      <c r="S160" s="8">
        <v>892.5</v>
      </c>
      <c r="T160" s="8"/>
      <c r="U160" s="6" t="s">
        <v>0</v>
      </c>
      <c r="V160" s="6" t="s">
        <v>0</v>
      </c>
    </row>
    <row r="161" spans="1:22" x14ac:dyDescent="0.3">
      <c r="A161" s="11" t="s">
        <v>183</v>
      </c>
      <c r="B161" s="6" t="s">
        <v>185</v>
      </c>
      <c r="C161" s="7">
        <v>119</v>
      </c>
      <c r="D161" s="6" t="s">
        <v>45</v>
      </c>
      <c r="E161" s="8">
        <v>14.8</v>
      </c>
      <c r="F161" s="8">
        <v>1761.2</v>
      </c>
      <c r="H161" s="9">
        <f t="shared" si="2"/>
        <v>1761.2</v>
      </c>
      <c r="I161" s="6" t="s">
        <v>0</v>
      </c>
      <c r="J161" s="6" t="s">
        <v>0</v>
      </c>
      <c r="L161" s="8">
        <v>14.8</v>
      </c>
      <c r="M161" s="8">
        <v>1761.2</v>
      </c>
      <c r="N161" s="8"/>
      <c r="O161" s="6" t="s">
        <v>0</v>
      </c>
      <c r="P161" s="6" t="s">
        <v>0</v>
      </c>
      <c r="R161" s="6" t="s">
        <v>0</v>
      </c>
      <c r="S161" s="6" t="s">
        <v>0</v>
      </c>
      <c r="U161" s="6" t="s">
        <v>0</v>
      </c>
      <c r="V161" s="6" t="s">
        <v>0</v>
      </c>
    </row>
    <row r="162" spans="1:22" x14ac:dyDescent="0.3">
      <c r="A162" s="11" t="s">
        <v>183</v>
      </c>
      <c r="B162" s="6" t="s">
        <v>186</v>
      </c>
      <c r="C162" s="7">
        <v>184.51</v>
      </c>
      <c r="D162" s="6" t="s">
        <v>47</v>
      </c>
      <c r="E162" s="8">
        <v>80</v>
      </c>
      <c r="F162" s="8">
        <v>14760.8</v>
      </c>
      <c r="H162" s="9">
        <f t="shared" si="2"/>
        <v>14760.8</v>
      </c>
      <c r="I162" s="6" t="s">
        <v>0</v>
      </c>
      <c r="J162" s="6" t="s">
        <v>0</v>
      </c>
      <c r="L162" s="8">
        <v>80</v>
      </c>
      <c r="M162" s="8">
        <v>14760.8</v>
      </c>
      <c r="N162" s="8"/>
      <c r="O162" s="6" t="s">
        <v>0</v>
      </c>
      <c r="P162" s="6" t="s">
        <v>0</v>
      </c>
      <c r="R162" s="6" t="s">
        <v>0</v>
      </c>
      <c r="S162" s="6" t="s">
        <v>0</v>
      </c>
      <c r="U162" s="6" t="s">
        <v>0</v>
      </c>
      <c r="V162" s="6" t="s">
        <v>0</v>
      </c>
    </row>
    <row r="163" spans="1:22" x14ac:dyDescent="0.3">
      <c r="A163" s="11" t="s">
        <v>183</v>
      </c>
      <c r="B163" s="6" t="s">
        <v>187</v>
      </c>
      <c r="C163" s="7">
        <v>1539.47</v>
      </c>
      <c r="D163" s="6" t="s">
        <v>47</v>
      </c>
      <c r="E163" s="8">
        <v>82</v>
      </c>
      <c r="F163" s="8">
        <v>126236.54000000001</v>
      </c>
      <c r="H163" s="9">
        <f t="shared" si="2"/>
        <v>126236.54000000001</v>
      </c>
      <c r="I163" s="6" t="s">
        <v>0</v>
      </c>
      <c r="J163" s="6" t="s">
        <v>0</v>
      </c>
      <c r="L163" s="8">
        <v>82</v>
      </c>
      <c r="M163" s="8">
        <v>126236.54000000001</v>
      </c>
      <c r="N163" s="8"/>
      <c r="O163" s="6" t="s">
        <v>0</v>
      </c>
      <c r="P163" s="6" t="s">
        <v>0</v>
      </c>
      <c r="R163" s="6" t="s">
        <v>0</v>
      </c>
      <c r="S163" s="6" t="s">
        <v>0</v>
      </c>
      <c r="U163" s="6" t="s">
        <v>0</v>
      </c>
      <c r="V163" s="6" t="s">
        <v>0</v>
      </c>
    </row>
    <row r="164" spans="1:22" x14ac:dyDescent="0.3">
      <c r="A164" s="11" t="s">
        <v>188</v>
      </c>
      <c r="B164" s="6" t="s">
        <v>189</v>
      </c>
      <c r="C164" s="7">
        <v>8.64</v>
      </c>
      <c r="D164" s="6" t="s">
        <v>87</v>
      </c>
      <c r="E164" s="8">
        <v>0.82500000000000007</v>
      </c>
      <c r="F164" s="8">
        <v>7.128000000000001</v>
      </c>
      <c r="H164" s="9">
        <f t="shared" si="2"/>
        <v>7.128000000000001</v>
      </c>
      <c r="I164" s="6" t="s">
        <v>0</v>
      </c>
      <c r="J164" s="6" t="s">
        <v>0</v>
      </c>
      <c r="L164" s="8">
        <v>0.82500000000000007</v>
      </c>
      <c r="M164" s="8">
        <v>7.128000000000001</v>
      </c>
      <c r="N164" s="8"/>
      <c r="O164" s="6" t="s">
        <v>0</v>
      </c>
      <c r="P164" s="6" t="s">
        <v>0</v>
      </c>
      <c r="R164" s="6" t="s">
        <v>0</v>
      </c>
      <c r="S164" s="6" t="s">
        <v>0</v>
      </c>
      <c r="U164" s="6" t="s">
        <v>0</v>
      </c>
      <c r="V164" s="6" t="s">
        <v>0</v>
      </c>
    </row>
    <row r="165" spans="1:22" x14ac:dyDescent="0.3">
      <c r="A165" s="11" t="s">
        <v>188</v>
      </c>
      <c r="B165" s="6" t="s">
        <v>190</v>
      </c>
      <c r="C165" s="7">
        <v>0.432</v>
      </c>
      <c r="D165" s="6" t="s">
        <v>39</v>
      </c>
      <c r="E165" s="8">
        <v>155.4</v>
      </c>
      <c r="F165" s="8">
        <v>67.132800000000003</v>
      </c>
      <c r="H165" s="9">
        <f t="shared" si="2"/>
        <v>67.132800000000003</v>
      </c>
      <c r="I165" s="6" t="s">
        <v>0</v>
      </c>
      <c r="J165" s="6" t="s">
        <v>0</v>
      </c>
      <c r="L165" s="8">
        <v>155.4</v>
      </c>
      <c r="M165" s="8">
        <v>67.132800000000003</v>
      </c>
      <c r="N165" s="8"/>
      <c r="O165" s="6" t="s">
        <v>0</v>
      </c>
      <c r="P165" s="6" t="s">
        <v>0</v>
      </c>
      <c r="R165" s="6" t="s">
        <v>0</v>
      </c>
      <c r="S165" s="6" t="s">
        <v>0</v>
      </c>
      <c r="U165" s="6" t="s">
        <v>0</v>
      </c>
      <c r="V165" s="6" t="s">
        <v>0</v>
      </c>
    </row>
    <row r="166" spans="1:22" x14ac:dyDescent="0.3">
      <c r="A166" s="11" t="s">
        <v>188</v>
      </c>
      <c r="B166" s="6" t="s">
        <v>191</v>
      </c>
      <c r="C166" s="7">
        <v>6</v>
      </c>
      <c r="D166" s="6" t="s">
        <v>45</v>
      </c>
      <c r="E166" s="8">
        <v>114</v>
      </c>
      <c r="F166" s="8">
        <v>684</v>
      </c>
      <c r="G166" s="7"/>
      <c r="H166" s="9">
        <f t="shared" si="2"/>
        <v>684</v>
      </c>
      <c r="I166" s="8">
        <v>114</v>
      </c>
      <c r="J166" s="8">
        <v>684</v>
      </c>
      <c r="K166" s="8"/>
      <c r="L166" s="6" t="s">
        <v>0</v>
      </c>
      <c r="M166" s="6" t="s">
        <v>0</v>
      </c>
      <c r="O166" s="6" t="s">
        <v>0</v>
      </c>
      <c r="P166" s="6" t="s">
        <v>0</v>
      </c>
      <c r="R166" s="6" t="s">
        <v>0</v>
      </c>
      <c r="S166" s="6" t="s">
        <v>0</v>
      </c>
      <c r="U166" s="6" t="s">
        <v>0</v>
      </c>
      <c r="V166" s="6" t="s">
        <v>0</v>
      </c>
    </row>
    <row r="167" spans="1:22" x14ac:dyDescent="0.3">
      <c r="A167" s="11" t="s">
        <v>188</v>
      </c>
      <c r="B167" s="6" t="s">
        <v>192</v>
      </c>
      <c r="C167" s="7">
        <v>25</v>
      </c>
      <c r="D167" s="6" t="s">
        <v>45</v>
      </c>
      <c r="E167" s="8">
        <v>77.849999999999994</v>
      </c>
      <c r="F167" s="8">
        <v>1946.2499999999998</v>
      </c>
      <c r="G167" s="7"/>
      <c r="H167" s="9">
        <f t="shared" si="2"/>
        <v>1946.2499999999998</v>
      </c>
      <c r="I167" s="8">
        <v>64.599999999999994</v>
      </c>
      <c r="J167" s="8">
        <v>1614.9999999999998</v>
      </c>
      <c r="K167" s="8"/>
      <c r="L167" s="8">
        <v>13.25</v>
      </c>
      <c r="M167" s="8">
        <v>331.25</v>
      </c>
      <c r="N167" s="8"/>
      <c r="O167" s="6" t="s">
        <v>0</v>
      </c>
      <c r="P167" s="6" t="s">
        <v>0</v>
      </c>
      <c r="R167" s="6" t="s">
        <v>0</v>
      </c>
      <c r="S167" s="6" t="s">
        <v>0</v>
      </c>
      <c r="U167" s="6" t="s">
        <v>0</v>
      </c>
      <c r="V167" s="6" t="s">
        <v>0</v>
      </c>
    </row>
    <row r="168" spans="1:22" x14ac:dyDescent="0.3">
      <c r="A168" s="11" t="s">
        <v>188</v>
      </c>
      <c r="B168" s="6" t="s">
        <v>193</v>
      </c>
      <c r="C168" s="7">
        <v>25</v>
      </c>
      <c r="D168" s="6" t="s">
        <v>45</v>
      </c>
      <c r="E168" s="8">
        <v>16.28</v>
      </c>
      <c r="F168" s="8">
        <v>407</v>
      </c>
      <c r="H168" s="9">
        <f t="shared" si="2"/>
        <v>407</v>
      </c>
      <c r="I168" s="6" t="s">
        <v>0</v>
      </c>
      <c r="J168" s="6" t="s">
        <v>0</v>
      </c>
      <c r="L168" s="8">
        <v>16.28</v>
      </c>
      <c r="M168" s="8">
        <v>407</v>
      </c>
      <c r="N168" s="8"/>
      <c r="O168" s="6" t="s">
        <v>0</v>
      </c>
      <c r="P168" s="6" t="s">
        <v>0</v>
      </c>
      <c r="R168" s="6" t="s">
        <v>0</v>
      </c>
      <c r="S168" s="6" t="s">
        <v>0</v>
      </c>
      <c r="U168" s="6" t="s">
        <v>0</v>
      </c>
      <c r="V168" s="6" t="s">
        <v>0</v>
      </c>
    </row>
    <row r="169" spans="1:22" x14ac:dyDescent="0.3">
      <c r="A169" s="11" t="s">
        <v>188</v>
      </c>
      <c r="B169" s="6" t="s">
        <v>194</v>
      </c>
      <c r="C169" s="7">
        <v>218.62</v>
      </c>
      <c r="D169" s="6" t="s">
        <v>47</v>
      </c>
      <c r="E169" s="8">
        <v>120</v>
      </c>
      <c r="F169" s="8">
        <v>26234.400000000001</v>
      </c>
      <c r="H169" s="9">
        <f t="shared" si="2"/>
        <v>26234.400000000001</v>
      </c>
      <c r="I169" s="6" t="s">
        <v>0</v>
      </c>
      <c r="J169" s="6" t="s">
        <v>0</v>
      </c>
      <c r="L169" s="8">
        <v>120</v>
      </c>
      <c r="M169" s="8">
        <v>26234.400000000001</v>
      </c>
      <c r="N169" s="8"/>
      <c r="O169" s="6" t="s">
        <v>0</v>
      </c>
      <c r="P169" s="6" t="s">
        <v>0</v>
      </c>
      <c r="R169" s="6" t="s">
        <v>0</v>
      </c>
      <c r="S169" s="6" t="s">
        <v>0</v>
      </c>
      <c r="U169" s="6" t="s">
        <v>0</v>
      </c>
      <c r="V169" s="6" t="s">
        <v>0</v>
      </c>
    </row>
    <row r="170" spans="1:22" x14ac:dyDescent="0.3">
      <c r="A170" s="11" t="s">
        <v>188</v>
      </c>
      <c r="B170" s="6" t="s">
        <v>195</v>
      </c>
      <c r="C170" s="7">
        <v>190</v>
      </c>
      <c r="D170" s="6" t="s">
        <v>65</v>
      </c>
      <c r="E170" s="8">
        <v>9.5625</v>
      </c>
      <c r="F170" s="8">
        <v>1816.875</v>
      </c>
      <c r="G170" s="7"/>
      <c r="H170" s="9">
        <f t="shared" si="2"/>
        <v>1816.875</v>
      </c>
      <c r="I170" s="8">
        <v>5.7</v>
      </c>
      <c r="J170" s="8">
        <v>1083</v>
      </c>
      <c r="K170" s="8"/>
      <c r="L170" s="8">
        <v>3.8624999999999998</v>
      </c>
      <c r="M170" s="8">
        <v>733.875</v>
      </c>
      <c r="N170" s="8"/>
      <c r="O170" s="6" t="s">
        <v>0</v>
      </c>
      <c r="P170" s="6" t="s">
        <v>0</v>
      </c>
      <c r="R170" s="6" t="s">
        <v>0</v>
      </c>
      <c r="S170" s="6" t="s">
        <v>0</v>
      </c>
      <c r="U170" s="6" t="s">
        <v>0</v>
      </c>
      <c r="V170" s="6" t="s">
        <v>0</v>
      </c>
    </row>
    <row r="171" spans="1:22" x14ac:dyDescent="0.3">
      <c r="A171" s="11" t="s">
        <v>188</v>
      </c>
      <c r="B171" s="6" t="s">
        <v>196</v>
      </c>
      <c r="C171" s="7">
        <v>54.945000000000007</v>
      </c>
      <c r="D171" s="6" t="s">
        <v>39</v>
      </c>
      <c r="E171" s="8">
        <v>170.6</v>
      </c>
      <c r="F171" s="8">
        <v>9373.617000000002</v>
      </c>
      <c r="G171" s="7"/>
      <c r="H171" s="9">
        <f t="shared" si="2"/>
        <v>9373.617000000002</v>
      </c>
      <c r="I171" s="8">
        <v>15.200000000000001</v>
      </c>
      <c r="J171" s="8">
        <v>835.16400000000021</v>
      </c>
      <c r="K171" s="8"/>
      <c r="L171" s="8">
        <v>155.4</v>
      </c>
      <c r="M171" s="8">
        <v>8538.4530000000013</v>
      </c>
      <c r="N171" s="8"/>
      <c r="O171" s="6" t="s">
        <v>0</v>
      </c>
      <c r="P171" s="6" t="s">
        <v>0</v>
      </c>
      <c r="R171" s="6" t="s">
        <v>0</v>
      </c>
      <c r="S171" s="6" t="s">
        <v>0</v>
      </c>
      <c r="U171" s="6" t="s">
        <v>0</v>
      </c>
      <c r="V171" s="6" t="s">
        <v>0</v>
      </c>
    </row>
    <row r="172" spans="1:22" x14ac:dyDescent="0.3">
      <c r="A172" s="11" t="s">
        <v>188</v>
      </c>
      <c r="B172" s="6" t="s">
        <v>197</v>
      </c>
      <c r="C172" s="7">
        <v>2112</v>
      </c>
      <c r="D172" s="6" t="s">
        <v>87</v>
      </c>
      <c r="E172" s="8">
        <v>1.6614</v>
      </c>
      <c r="F172" s="8">
        <v>3508.8768</v>
      </c>
      <c r="G172" s="7"/>
      <c r="H172" s="9">
        <f t="shared" si="2"/>
        <v>3508.8768</v>
      </c>
      <c r="I172" s="8">
        <v>0.83639999999999992</v>
      </c>
      <c r="J172" s="8">
        <v>1766.4767999999999</v>
      </c>
      <c r="K172" s="8"/>
      <c r="L172" s="8">
        <v>0.82500000000000007</v>
      </c>
      <c r="M172" s="8">
        <v>1742.4</v>
      </c>
      <c r="N172" s="8"/>
      <c r="O172" s="6" t="s">
        <v>0</v>
      </c>
      <c r="P172" s="6" t="s">
        <v>0</v>
      </c>
      <c r="R172" s="6" t="s">
        <v>0</v>
      </c>
      <c r="S172" s="6" t="s">
        <v>0</v>
      </c>
      <c r="U172" s="6" t="s">
        <v>0</v>
      </c>
      <c r="V172" s="6" t="s">
        <v>0</v>
      </c>
    </row>
    <row r="173" spans="1:22" x14ac:dyDescent="0.3">
      <c r="A173" s="11" t="s">
        <v>188</v>
      </c>
      <c r="B173" s="6" t="s">
        <v>198</v>
      </c>
      <c r="C173" s="7">
        <v>145</v>
      </c>
      <c r="D173" s="6" t="s">
        <v>47</v>
      </c>
      <c r="E173" s="8">
        <v>24.393249999999998</v>
      </c>
      <c r="F173" s="8">
        <v>3537.0212499999998</v>
      </c>
      <c r="G173" s="7"/>
      <c r="H173" s="9">
        <f t="shared" si="2"/>
        <v>3537.0212499999998</v>
      </c>
      <c r="I173" s="8">
        <v>5.7</v>
      </c>
      <c r="J173" s="8">
        <v>826.5</v>
      </c>
      <c r="K173" s="8"/>
      <c r="L173" s="8">
        <v>18.693249999999999</v>
      </c>
      <c r="M173" s="8">
        <v>2710.5212499999998</v>
      </c>
      <c r="N173" s="8"/>
      <c r="O173" s="6" t="s">
        <v>0</v>
      </c>
      <c r="P173" s="6" t="s">
        <v>0</v>
      </c>
      <c r="R173" s="6" t="s">
        <v>0</v>
      </c>
      <c r="S173" s="6" t="s">
        <v>0</v>
      </c>
      <c r="U173" s="6" t="s">
        <v>0</v>
      </c>
      <c r="V173" s="6" t="s">
        <v>0</v>
      </c>
    </row>
    <row r="174" spans="1:22" x14ac:dyDescent="0.3">
      <c r="A174" s="11" t="s">
        <v>188</v>
      </c>
      <c r="B174" s="6" t="s">
        <v>199</v>
      </c>
      <c r="C174" s="7">
        <v>500</v>
      </c>
      <c r="D174" s="6" t="s">
        <v>65</v>
      </c>
      <c r="E174" s="8">
        <v>7.6625000000000005</v>
      </c>
      <c r="F174" s="8">
        <v>3831.25</v>
      </c>
      <c r="G174" s="7"/>
      <c r="H174" s="9">
        <f t="shared" si="2"/>
        <v>3831.25</v>
      </c>
      <c r="I174" s="8">
        <v>3.8000000000000003</v>
      </c>
      <c r="J174" s="8">
        <v>1900.0000000000002</v>
      </c>
      <c r="K174" s="8"/>
      <c r="L174" s="8">
        <v>3.8624999999999998</v>
      </c>
      <c r="M174" s="8">
        <v>1931.25</v>
      </c>
      <c r="N174" s="8"/>
      <c r="O174" s="6" t="s">
        <v>0</v>
      </c>
      <c r="P174" s="6" t="s">
        <v>0</v>
      </c>
      <c r="R174" s="6" t="s">
        <v>0</v>
      </c>
      <c r="S174" s="6" t="s">
        <v>0</v>
      </c>
      <c r="U174" s="6" t="s">
        <v>0</v>
      </c>
      <c r="V174" s="6" t="s">
        <v>0</v>
      </c>
    </row>
    <row r="175" spans="1:22" x14ac:dyDescent="0.3">
      <c r="A175" s="11" t="s">
        <v>188</v>
      </c>
      <c r="B175" s="6" t="s">
        <v>200</v>
      </c>
      <c r="C175" s="7">
        <v>90</v>
      </c>
      <c r="D175" s="6" t="s">
        <v>45</v>
      </c>
      <c r="E175" s="8">
        <v>18.070599999999999</v>
      </c>
      <c r="F175" s="8">
        <v>1626.354</v>
      </c>
      <c r="G175" s="7"/>
      <c r="H175" s="9">
        <f t="shared" si="2"/>
        <v>1626.354</v>
      </c>
      <c r="I175" s="8">
        <v>13.3</v>
      </c>
      <c r="J175" s="8">
        <v>1197</v>
      </c>
      <c r="K175" s="8"/>
      <c r="L175" s="8">
        <v>4.7706000000000008</v>
      </c>
      <c r="M175" s="8">
        <v>429.35400000000004</v>
      </c>
      <c r="N175" s="8"/>
      <c r="O175" s="6" t="s">
        <v>0</v>
      </c>
      <c r="P175" s="6" t="s">
        <v>0</v>
      </c>
      <c r="R175" s="6" t="s">
        <v>0</v>
      </c>
      <c r="S175" s="6" t="s">
        <v>0</v>
      </c>
      <c r="U175" s="6" t="s">
        <v>0</v>
      </c>
      <c r="V175" s="6" t="s">
        <v>0</v>
      </c>
    </row>
    <row r="176" spans="1:22" x14ac:dyDescent="0.3">
      <c r="A176" s="11" t="s">
        <v>188</v>
      </c>
      <c r="B176" s="6" t="s">
        <v>201</v>
      </c>
      <c r="C176" s="7">
        <v>444</v>
      </c>
      <c r="D176" s="6" t="s">
        <v>47</v>
      </c>
      <c r="E176" s="8">
        <v>47</v>
      </c>
      <c r="F176" s="8">
        <v>20868</v>
      </c>
      <c r="H176" s="9">
        <f t="shared" si="2"/>
        <v>20868</v>
      </c>
      <c r="I176" s="6" t="s">
        <v>0</v>
      </c>
      <c r="J176" s="6" t="s">
        <v>0</v>
      </c>
      <c r="L176" s="8">
        <v>47</v>
      </c>
      <c r="M176" s="8">
        <v>20868</v>
      </c>
      <c r="N176" s="8"/>
      <c r="O176" s="6" t="s">
        <v>0</v>
      </c>
      <c r="P176" s="6" t="s">
        <v>0</v>
      </c>
      <c r="R176" s="6" t="s">
        <v>0</v>
      </c>
      <c r="S176" s="6" t="s">
        <v>0</v>
      </c>
      <c r="U176" s="6" t="s">
        <v>0</v>
      </c>
      <c r="V176" s="6" t="s">
        <v>0</v>
      </c>
    </row>
    <row r="177" spans="1:22" x14ac:dyDescent="0.3">
      <c r="A177" s="11" t="s">
        <v>188</v>
      </c>
      <c r="B177" s="6" t="s">
        <v>202</v>
      </c>
      <c r="C177" s="7">
        <v>2072.5</v>
      </c>
      <c r="D177" s="6" t="s">
        <v>47</v>
      </c>
      <c r="E177" s="8">
        <v>54</v>
      </c>
      <c r="F177" s="8">
        <v>111915</v>
      </c>
      <c r="H177" s="9">
        <f t="shared" si="2"/>
        <v>111915</v>
      </c>
      <c r="I177" s="6" t="s">
        <v>0</v>
      </c>
      <c r="J177" s="6" t="s">
        <v>0</v>
      </c>
      <c r="L177" s="8">
        <v>54</v>
      </c>
      <c r="M177" s="8">
        <v>111915</v>
      </c>
      <c r="N177" s="8"/>
      <c r="O177" s="6" t="s">
        <v>0</v>
      </c>
      <c r="P177" s="6" t="s">
        <v>0</v>
      </c>
      <c r="R177" s="6" t="s">
        <v>0</v>
      </c>
      <c r="S177" s="6" t="s">
        <v>0</v>
      </c>
      <c r="U177" s="6" t="s">
        <v>0</v>
      </c>
      <c r="V177" s="6" t="s">
        <v>0</v>
      </c>
    </row>
    <row r="178" spans="1:22" x14ac:dyDescent="0.3">
      <c r="A178" s="11" t="s">
        <v>188</v>
      </c>
      <c r="B178" s="6" t="s">
        <v>203</v>
      </c>
      <c r="C178" s="7">
        <v>80.700000000000017</v>
      </c>
      <c r="D178" s="6" t="s">
        <v>47</v>
      </c>
      <c r="E178" s="8">
        <v>66</v>
      </c>
      <c r="F178" s="8">
        <v>5326.2000000000007</v>
      </c>
      <c r="H178" s="9">
        <f t="shared" si="2"/>
        <v>5326.2000000000007</v>
      </c>
      <c r="I178" s="6" t="s">
        <v>0</v>
      </c>
      <c r="J178" s="6" t="s">
        <v>0</v>
      </c>
      <c r="L178" s="8">
        <v>66</v>
      </c>
      <c r="M178" s="8">
        <v>5326.2000000000007</v>
      </c>
      <c r="N178" s="8"/>
      <c r="O178" s="6" t="s">
        <v>0</v>
      </c>
      <c r="P178" s="6" t="s">
        <v>0</v>
      </c>
      <c r="R178" s="6" t="s">
        <v>0</v>
      </c>
      <c r="S178" s="6" t="s">
        <v>0</v>
      </c>
      <c r="U178" s="6" t="s">
        <v>0</v>
      </c>
      <c r="V178" s="6" t="s">
        <v>0</v>
      </c>
    </row>
    <row r="179" spans="1:22" x14ac:dyDescent="0.3">
      <c r="A179" s="11" t="s">
        <v>188</v>
      </c>
      <c r="B179" s="6" t="s">
        <v>204</v>
      </c>
      <c r="C179" s="7">
        <v>2596.892889251671</v>
      </c>
      <c r="D179" s="6" t="s">
        <v>47</v>
      </c>
      <c r="E179" s="8">
        <v>9.9175000000000004</v>
      </c>
      <c r="F179" s="8">
        <v>25754.685229153445</v>
      </c>
      <c r="G179" s="7"/>
      <c r="H179" s="9">
        <f t="shared" si="2"/>
        <v>25754.685229153445</v>
      </c>
      <c r="I179" s="8">
        <v>7.98</v>
      </c>
      <c r="J179" s="8">
        <v>20723.205256228335</v>
      </c>
      <c r="K179" s="8"/>
      <c r="L179" s="8">
        <v>1.9375</v>
      </c>
      <c r="M179" s="8">
        <v>5031.4799729251126</v>
      </c>
      <c r="N179" s="8"/>
      <c r="O179" s="6" t="s">
        <v>0</v>
      </c>
      <c r="P179" s="6" t="s">
        <v>0</v>
      </c>
      <c r="R179" s="6" t="s">
        <v>0</v>
      </c>
      <c r="S179" s="6" t="s">
        <v>0</v>
      </c>
      <c r="U179" s="6" t="s">
        <v>0</v>
      </c>
      <c r="V179" s="6" t="s">
        <v>0</v>
      </c>
    </row>
    <row r="180" spans="1:22" x14ac:dyDescent="0.3">
      <c r="A180" s="11" t="s">
        <v>188</v>
      </c>
      <c r="B180" s="6" t="s">
        <v>205</v>
      </c>
      <c r="C180" s="7">
        <v>77.589811268207896</v>
      </c>
      <c r="D180" s="6" t="s">
        <v>39</v>
      </c>
      <c r="E180" s="8">
        <v>155.4</v>
      </c>
      <c r="F180" s="8">
        <v>12057.456671079508</v>
      </c>
      <c r="H180" s="9">
        <f t="shared" si="2"/>
        <v>12057.456671079508</v>
      </c>
      <c r="I180" s="6" t="s">
        <v>0</v>
      </c>
      <c r="J180" s="6" t="s">
        <v>0</v>
      </c>
      <c r="L180" s="8">
        <v>155.4</v>
      </c>
      <c r="M180" s="8">
        <v>12057.456671079508</v>
      </c>
      <c r="N180" s="8"/>
      <c r="O180" s="6" t="s">
        <v>0</v>
      </c>
      <c r="P180" s="6" t="s">
        <v>0</v>
      </c>
      <c r="R180" s="6" t="s">
        <v>0</v>
      </c>
      <c r="S180" s="6" t="s">
        <v>0</v>
      </c>
      <c r="U180" s="6" t="s">
        <v>0</v>
      </c>
      <c r="V180" s="6" t="s">
        <v>0</v>
      </c>
    </row>
    <row r="181" spans="1:22" x14ac:dyDescent="0.3">
      <c r="A181" s="11" t="s">
        <v>188</v>
      </c>
      <c r="B181" s="6" t="s">
        <v>206</v>
      </c>
      <c r="C181" s="7">
        <v>3.96</v>
      </c>
      <c r="D181" s="6" t="s">
        <v>47</v>
      </c>
      <c r="E181" s="8">
        <v>27.139000000000003</v>
      </c>
      <c r="F181" s="8">
        <v>107.47044000000001</v>
      </c>
      <c r="H181" s="9">
        <f t="shared" si="2"/>
        <v>107.47044000000001</v>
      </c>
      <c r="I181" s="6" t="s">
        <v>0</v>
      </c>
      <c r="J181" s="6" t="s">
        <v>0</v>
      </c>
      <c r="L181" s="8">
        <v>27.139000000000003</v>
      </c>
      <c r="M181" s="8">
        <v>107.47044000000001</v>
      </c>
      <c r="N181" s="8"/>
      <c r="O181" s="6" t="s">
        <v>0</v>
      </c>
      <c r="P181" s="6" t="s">
        <v>0</v>
      </c>
      <c r="R181" s="6" t="s">
        <v>0</v>
      </c>
      <c r="S181" s="6" t="s">
        <v>0</v>
      </c>
      <c r="U181" s="6" t="s">
        <v>0</v>
      </c>
      <c r="V181" s="6" t="s">
        <v>0</v>
      </c>
    </row>
    <row r="182" spans="1:22" x14ac:dyDescent="0.3">
      <c r="A182" s="11" t="s">
        <v>207</v>
      </c>
      <c r="B182" s="6" t="s">
        <v>208</v>
      </c>
      <c r="C182" s="7">
        <v>64</v>
      </c>
      <c r="D182" s="6" t="s">
        <v>45</v>
      </c>
      <c r="E182" s="8">
        <v>146.49600000000001</v>
      </c>
      <c r="F182" s="8">
        <v>9375.7440000000006</v>
      </c>
      <c r="G182" s="7"/>
      <c r="H182" s="9">
        <f t="shared" si="2"/>
        <v>9375.7440000000006</v>
      </c>
      <c r="I182" s="8">
        <v>101.346</v>
      </c>
      <c r="J182" s="8">
        <v>6486.1440000000002</v>
      </c>
      <c r="K182" s="8"/>
      <c r="L182" s="8">
        <v>37.65</v>
      </c>
      <c r="M182" s="8">
        <v>2409.6</v>
      </c>
      <c r="N182" s="8"/>
      <c r="O182" s="6" t="s">
        <v>0</v>
      </c>
      <c r="P182" s="6" t="s">
        <v>0</v>
      </c>
      <c r="R182" s="8">
        <v>7.5</v>
      </c>
      <c r="S182" s="8">
        <v>480</v>
      </c>
      <c r="T182" s="8"/>
      <c r="U182" s="6" t="s">
        <v>0</v>
      </c>
      <c r="V182" s="6" t="s">
        <v>0</v>
      </c>
    </row>
    <row r="183" spans="1:22" x14ac:dyDescent="0.3">
      <c r="A183" s="11" t="s">
        <v>207</v>
      </c>
      <c r="B183" s="6" t="s">
        <v>209</v>
      </c>
      <c r="C183" s="7">
        <v>64</v>
      </c>
      <c r="D183" s="6" t="s">
        <v>45</v>
      </c>
      <c r="E183" s="8">
        <v>14.8</v>
      </c>
      <c r="F183" s="8">
        <v>947.2</v>
      </c>
      <c r="H183" s="9">
        <f t="shared" si="2"/>
        <v>947.2</v>
      </c>
      <c r="I183" s="6" t="s">
        <v>0</v>
      </c>
      <c r="J183" s="6" t="s">
        <v>0</v>
      </c>
      <c r="L183" s="8">
        <v>14.8</v>
      </c>
      <c r="M183" s="8">
        <v>947.2</v>
      </c>
      <c r="N183" s="8"/>
      <c r="O183" s="6" t="s">
        <v>0</v>
      </c>
      <c r="P183" s="6" t="s">
        <v>0</v>
      </c>
      <c r="R183" s="6" t="s">
        <v>0</v>
      </c>
      <c r="S183" s="6" t="s">
        <v>0</v>
      </c>
      <c r="U183" s="6" t="s">
        <v>0</v>
      </c>
      <c r="V183" s="6" t="s">
        <v>0</v>
      </c>
    </row>
    <row r="184" spans="1:22" x14ac:dyDescent="0.3">
      <c r="A184" s="11" t="s">
        <v>207</v>
      </c>
      <c r="B184" s="6" t="s">
        <v>210</v>
      </c>
      <c r="C184" s="7">
        <v>883.07</v>
      </c>
      <c r="D184" s="6" t="s">
        <v>47</v>
      </c>
      <c r="E184" s="8">
        <v>90</v>
      </c>
      <c r="F184" s="8">
        <v>79476.3</v>
      </c>
      <c r="H184" s="9">
        <f t="shared" si="2"/>
        <v>79476.3</v>
      </c>
      <c r="I184" s="6" t="s">
        <v>0</v>
      </c>
      <c r="J184" s="6" t="s">
        <v>0</v>
      </c>
      <c r="L184" s="8">
        <v>90</v>
      </c>
      <c r="M184" s="8">
        <v>79476.3</v>
      </c>
      <c r="N184" s="8"/>
      <c r="O184" s="6" t="s">
        <v>0</v>
      </c>
      <c r="P184" s="6" t="s">
        <v>0</v>
      </c>
      <c r="R184" s="6" t="s">
        <v>0</v>
      </c>
      <c r="S184" s="6" t="s">
        <v>0</v>
      </c>
      <c r="U184" s="6" t="s">
        <v>0</v>
      </c>
      <c r="V184" s="6" t="s">
        <v>0</v>
      </c>
    </row>
    <row r="185" spans="1:22" x14ac:dyDescent="0.3">
      <c r="A185" s="11" t="s">
        <v>211</v>
      </c>
      <c r="B185" s="6" t="s">
        <v>212</v>
      </c>
      <c r="C185" s="7">
        <v>1</v>
      </c>
      <c r="D185" s="6" t="s">
        <v>4</v>
      </c>
      <c r="E185" s="8">
        <v>1100</v>
      </c>
      <c r="F185" s="8">
        <v>1100</v>
      </c>
      <c r="H185" s="9">
        <f t="shared" si="2"/>
        <v>1100</v>
      </c>
      <c r="I185" s="6" t="s">
        <v>0</v>
      </c>
      <c r="J185" s="6" t="s">
        <v>0</v>
      </c>
      <c r="L185" s="8">
        <v>1100</v>
      </c>
      <c r="M185" s="8">
        <v>1100</v>
      </c>
      <c r="N185" s="8"/>
      <c r="O185" s="6" t="s">
        <v>0</v>
      </c>
      <c r="P185" s="6" t="s">
        <v>0</v>
      </c>
      <c r="R185" s="6" t="s">
        <v>0</v>
      </c>
      <c r="S185" s="6" t="s">
        <v>0</v>
      </c>
      <c r="U185" s="6" t="s">
        <v>0</v>
      </c>
      <c r="V185" s="6" t="s">
        <v>0</v>
      </c>
    </row>
    <row r="186" spans="1:22" x14ac:dyDescent="0.3">
      <c r="A186" s="11" t="s">
        <v>211</v>
      </c>
      <c r="B186" s="6" t="s">
        <v>213</v>
      </c>
      <c r="C186" s="7">
        <v>1</v>
      </c>
      <c r="D186" s="6" t="s">
        <v>45</v>
      </c>
      <c r="E186" s="8">
        <v>69.8</v>
      </c>
      <c r="F186" s="8">
        <v>69.8</v>
      </c>
      <c r="G186" s="7"/>
      <c r="H186" s="9">
        <f t="shared" si="2"/>
        <v>69.8</v>
      </c>
      <c r="I186" s="8">
        <v>57.6</v>
      </c>
      <c r="J186" s="8">
        <v>57.6</v>
      </c>
      <c r="K186" s="8"/>
      <c r="L186" s="8">
        <v>12.2</v>
      </c>
      <c r="M186" s="8">
        <v>12.2</v>
      </c>
      <c r="N186" s="8"/>
      <c r="O186" s="6" t="s">
        <v>0</v>
      </c>
      <c r="P186" s="6" t="s">
        <v>0</v>
      </c>
      <c r="R186" s="6" t="s">
        <v>0</v>
      </c>
      <c r="S186" s="6" t="s">
        <v>0</v>
      </c>
      <c r="U186" s="6" t="s">
        <v>0</v>
      </c>
      <c r="V186" s="6" t="s">
        <v>0</v>
      </c>
    </row>
    <row r="187" spans="1:22" x14ac:dyDescent="0.3">
      <c r="A187" s="11" t="s">
        <v>211</v>
      </c>
      <c r="B187" s="6" t="s">
        <v>214</v>
      </c>
      <c r="C187" s="7">
        <v>3.75</v>
      </c>
      <c r="D187" s="6" t="s">
        <v>65</v>
      </c>
      <c r="E187" s="8">
        <v>10.66</v>
      </c>
      <c r="F187" s="8">
        <v>39.974999999999994</v>
      </c>
      <c r="G187" s="7"/>
      <c r="H187" s="9">
        <f t="shared" si="2"/>
        <v>39.974999999999994</v>
      </c>
      <c r="I187" s="8">
        <v>9.3599999999999977</v>
      </c>
      <c r="J187" s="8">
        <v>35.099999999999994</v>
      </c>
      <c r="K187" s="8"/>
      <c r="L187" s="8">
        <v>1.3</v>
      </c>
      <c r="M187" s="8">
        <v>4.875</v>
      </c>
      <c r="N187" s="8"/>
      <c r="O187" s="6" t="s">
        <v>0</v>
      </c>
      <c r="P187" s="6" t="s">
        <v>0</v>
      </c>
      <c r="R187" s="6" t="s">
        <v>0</v>
      </c>
      <c r="S187" s="6" t="s">
        <v>0</v>
      </c>
      <c r="U187" s="6" t="s">
        <v>0</v>
      </c>
      <c r="V187" s="6" t="s">
        <v>0</v>
      </c>
    </row>
    <row r="188" spans="1:22" x14ac:dyDescent="0.3">
      <c r="A188" s="11" t="s">
        <v>215</v>
      </c>
      <c r="B188" s="6" t="s">
        <v>216</v>
      </c>
      <c r="C188" s="7">
        <v>0.25</v>
      </c>
      <c r="D188" s="6" t="s">
        <v>39</v>
      </c>
      <c r="E188" s="8">
        <v>466.8</v>
      </c>
      <c r="F188" s="8">
        <v>116.7</v>
      </c>
      <c r="G188" s="7"/>
      <c r="H188" s="9">
        <f t="shared" si="2"/>
        <v>116.7</v>
      </c>
      <c r="I188" s="8">
        <v>304</v>
      </c>
      <c r="J188" s="8">
        <v>76</v>
      </c>
      <c r="K188" s="8"/>
      <c r="L188" s="8">
        <v>162.80000000000001</v>
      </c>
      <c r="M188" s="8">
        <v>40.700000000000003</v>
      </c>
      <c r="N188" s="8"/>
      <c r="O188" s="6" t="s">
        <v>0</v>
      </c>
      <c r="P188" s="6" t="s">
        <v>0</v>
      </c>
      <c r="R188" s="6" t="s">
        <v>0</v>
      </c>
      <c r="S188" s="6" t="s">
        <v>0</v>
      </c>
      <c r="U188" s="6" t="s">
        <v>0</v>
      </c>
      <c r="V188" s="6" t="s">
        <v>0</v>
      </c>
    </row>
    <row r="189" spans="1:22" x14ac:dyDescent="0.3">
      <c r="A189" s="11" t="s">
        <v>215</v>
      </c>
      <c r="B189" s="6" t="s">
        <v>217</v>
      </c>
      <c r="C189" s="7">
        <v>5</v>
      </c>
      <c r="D189" s="6" t="s">
        <v>45</v>
      </c>
      <c r="E189" s="8">
        <v>2640</v>
      </c>
      <c r="F189" s="8">
        <v>13200</v>
      </c>
      <c r="H189" s="9">
        <f t="shared" si="2"/>
        <v>13200</v>
      </c>
      <c r="I189" s="6" t="s">
        <v>0</v>
      </c>
      <c r="J189" s="6" t="s">
        <v>0</v>
      </c>
      <c r="L189" s="8">
        <v>2640</v>
      </c>
      <c r="M189" s="8">
        <v>13200</v>
      </c>
      <c r="N189" s="8"/>
      <c r="O189" s="6" t="s">
        <v>0</v>
      </c>
      <c r="P189" s="6" t="s">
        <v>0</v>
      </c>
      <c r="R189" s="6" t="s">
        <v>0</v>
      </c>
      <c r="S189" s="6" t="s">
        <v>0</v>
      </c>
      <c r="U189" s="6" t="s">
        <v>0</v>
      </c>
      <c r="V189" s="6" t="s">
        <v>0</v>
      </c>
    </row>
    <row r="190" spans="1:22" x14ac:dyDescent="0.3">
      <c r="A190" s="11" t="s">
        <v>215</v>
      </c>
      <c r="B190" s="6" t="s">
        <v>218</v>
      </c>
      <c r="C190" s="7">
        <v>5</v>
      </c>
      <c r="D190" s="6" t="s">
        <v>45</v>
      </c>
      <c r="E190" s="8">
        <v>233.8</v>
      </c>
      <c r="F190" s="8">
        <v>1169</v>
      </c>
      <c r="G190" s="7"/>
      <c r="H190" s="9">
        <f t="shared" si="2"/>
        <v>1169</v>
      </c>
      <c r="I190" s="8">
        <v>98.8</v>
      </c>
      <c r="J190" s="8">
        <v>494</v>
      </c>
      <c r="K190" s="8"/>
      <c r="L190" s="6" t="s">
        <v>0</v>
      </c>
      <c r="M190" s="6" t="s">
        <v>0</v>
      </c>
      <c r="O190" s="8">
        <v>135</v>
      </c>
      <c r="P190" s="8">
        <v>675</v>
      </c>
      <c r="Q190" s="8"/>
      <c r="R190" s="6" t="s">
        <v>0</v>
      </c>
      <c r="S190" s="6" t="s">
        <v>0</v>
      </c>
      <c r="U190" s="6" t="s">
        <v>0</v>
      </c>
      <c r="V190" s="6" t="s">
        <v>0</v>
      </c>
    </row>
    <row r="191" spans="1:22" x14ac:dyDescent="0.3">
      <c r="A191" s="11" t="s">
        <v>215</v>
      </c>
      <c r="B191" s="6" t="s">
        <v>219</v>
      </c>
      <c r="C191" s="7">
        <v>5</v>
      </c>
      <c r="D191" s="6" t="s">
        <v>45</v>
      </c>
      <c r="E191" s="8">
        <v>457.6</v>
      </c>
      <c r="F191" s="8">
        <v>2288</v>
      </c>
      <c r="G191" s="7"/>
      <c r="H191" s="9">
        <f t="shared" si="2"/>
        <v>2288</v>
      </c>
      <c r="I191" s="8">
        <v>7.6</v>
      </c>
      <c r="J191" s="8">
        <v>38</v>
      </c>
      <c r="K191" s="8"/>
      <c r="L191" s="8">
        <v>450</v>
      </c>
      <c r="M191" s="8">
        <v>2250</v>
      </c>
      <c r="N191" s="8"/>
      <c r="O191" s="6" t="s">
        <v>0</v>
      </c>
      <c r="P191" s="6" t="s">
        <v>0</v>
      </c>
      <c r="R191" s="6" t="s">
        <v>0</v>
      </c>
      <c r="S191" s="6" t="s">
        <v>0</v>
      </c>
      <c r="U191" s="6" t="s">
        <v>0</v>
      </c>
      <c r="V191" s="6" t="s">
        <v>0</v>
      </c>
    </row>
    <row r="192" spans="1:22" x14ac:dyDescent="0.3">
      <c r="A192" s="11" t="s">
        <v>215</v>
      </c>
      <c r="B192" s="6" t="s">
        <v>220</v>
      </c>
      <c r="C192" s="7">
        <v>5</v>
      </c>
      <c r="D192" s="6" t="s">
        <v>45</v>
      </c>
      <c r="E192" s="8">
        <v>200</v>
      </c>
      <c r="F192" s="8">
        <v>1000</v>
      </c>
      <c r="H192" s="9">
        <f t="shared" si="2"/>
        <v>1000</v>
      </c>
      <c r="I192" s="6" t="s">
        <v>0</v>
      </c>
      <c r="J192" s="6" t="s">
        <v>0</v>
      </c>
      <c r="L192" s="6" t="s">
        <v>0</v>
      </c>
      <c r="M192" s="6" t="s">
        <v>0</v>
      </c>
      <c r="O192" s="8">
        <v>200</v>
      </c>
      <c r="P192" s="8">
        <v>1000</v>
      </c>
      <c r="Q192" s="8"/>
      <c r="R192" s="6" t="s">
        <v>0</v>
      </c>
      <c r="S192" s="6" t="s">
        <v>0</v>
      </c>
      <c r="U192" s="6" t="s">
        <v>0</v>
      </c>
      <c r="V192" s="6" t="s">
        <v>0</v>
      </c>
    </row>
    <row r="193" spans="1:22" x14ac:dyDescent="0.3">
      <c r="A193" s="11" t="s">
        <v>221</v>
      </c>
      <c r="B193" s="6" t="s">
        <v>222</v>
      </c>
      <c r="C193" s="7">
        <v>11</v>
      </c>
      <c r="D193" s="6" t="s">
        <v>45</v>
      </c>
      <c r="E193" s="8">
        <v>80.77500000000002</v>
      </c>
      <c r="F193" s="8">
        <v>888.52500000000009</v>
      </c>
      <c r="G193" s="7"/>
      <c r="H193" s="9">
        <f t="shared" si="2"/>
        <v>888.52500000000009</v>
      </c>
      <c r="I193" s="8">
        <v>60.800000000000004</v>
      </c>
      <c r="J193" s="8">
        <v>668.80000000000007</v>
      </c>
      <c r="K193" s="8"/>
      <c r="L193" s="8">
        <v>12.475</v>
      </c>
      <c r="M193" s="8">
        <v>137.22499999999999</v>
      </c>
      <c r="N193" s="8"/>
      <c r="O193" s="6" t="s">
        <v>0</v>
      </c>
      <c r="P193" s="6" t="s">
        <v>0</v>
      </c>
      <c r="R193" s="8">
        <v>7.5</v>
      </c>
      <c r="S193" s="8">
        <v>82.5</v>
      </c>
      <c r="T193" s="8"/>
      <c r="U193" s="6" t="s">
        <v>0</v>
      </c>
      <c r="V193" s="6" t="s">
        <v>0</v>
      </c>
    </row>
    <row r="194" spans="1:22" x14ac:dyDescent="0.3">
      <c r="A194" s="11" t="s">
        <v>221</v>
      </c>
      <c r="B194" s="6" t="s">
        <v>223</v>
      </c>
      <c r="C194" s="7">
        <v>47.8</v>
      </c>
      <c r="D194" s="6" t="s">
        <v>47</v>
      </c>
      <c r="E194" s="8">
        <v>100</v>
      </c>
      <c r="F194" s="8">
        <v>4780</v>
      </c>
      <c r="H194" s="9">
        <f t="shared" si="2"/>
        <v>4780</v>
      </c>
      <c r="I194" s="6" t="s">
        <v>0</v>
      </c>
      <c r="J194" s="6" t="s">
        <v>0</v>
      </c>
      <c r="L194" s="8">
        <v>100</v>
      </c>
      <c r="M194" s="8">
        <v>4780</v>
      </c>
      <c r="N194" s="8"/>
      <c r="O194" s="6" t="s">
        <v>0</v>
      </c>
      <c r="P194" s="6" t="s">
        <v>0</v>
      </c>
      <c r="R194" s="6" t="s">
        <v>0</v>
      </c>
      <c r="S194" s="6" t="s">
        <v>0</v>
      </c>
      <c r="U194" s="6" t="s">
        <v>0</v>
      </c>
      <c r="V194" s="6" t="s">
        <v>0</v>
      </c>
    </row>
    <row r="195" spans="1:22" x14ac:dyDescent="0.3">
      <c r="A195" s="11" t="s">
        <v>221</v>
      </c>
      <c r="B195" s="6" t="s">
        <v>224</v>
      </c>
      <c r="C195" s="7">
        <v>28</v>
      </c>
      <c r="D195" s="6" t="s">
        <v>45</v>
      </c>
      <c r="E195" s="8">
        <v>65.800000000000011</v>
      </c>
      <c r="F195" s="8">
        <v>1842.4</v>
      </c>
      <c r="G195" s="7"/>
      <c r="H195" s="9">
        <f t="shared" si="2"/>
        <v>1842.4</v>
      </c>
      <c r="I195" s="8">
        <v>60.800000000000004</v>
      </c>
      <c r="J195" s="8">
        <v>1702.4</v>
      </c>
      <c r="K195" s="8"/>
      <c r="L195" s="8">
        <v>5</v>
      </c>
      <c r="M195" s="8">
        <v>140</v>
      </c>
      <c r="N195" s="8"/>
      <c r="O195" s="6" t="s">
        <v>0</v>
      </c>
      <c r="P195" s="6" t="s">
        <v>0</v>
      </c>
      <c r="R195" s="6" t="s">
        <v>0</v>
      </c>
      <c r="S195" s="6" t="s">
        <v>0</v>
      </c>
      <c r="U195" s="6" t="s">
        <v>0</v>
      </c>
      <c r="V195" s="6" t="s">
        <v>0</v>
      </c>
    </row>
    <row r="196" spans="1:22" x14ac:dyDescent="0.3">
      <c r="A196" s="11" t="s">
        <v>221</v>
      </c>
      <c r="B196" s="6" t="s">
        <v>225</v>
      </c>
      <c r="C196" s="7">
        <v>5</v>
      </c>
      <c r="D196" s="6" t="s">
        <v>45</v>
      </c>
      <c r="E196" s="8">
        <v>65.800000000000011</v>
      </c>
      <c r="F196" s="8">
        <v>329</v>
      </c>
      <c r="G196" s="7"/>
      <c r="H196" s="9">
        <f t="shared" ref="H196:H259" si="3">IF(AND(K196="",N196="",Q196="", T196="", W196=""), F196,K196+ N196+Q196+T196+W196)</f>
        <v>329</v>
      </c>
      <c r="I196" s="8">
        <v>60.8</v>
      </c>
      <c r="J196" s="8">
        <v>304</v>
      </c>
      <c r="K196" s="8"/>
      <c r="L196" s="8">
        <v>5</v>
      </c>
      <c r="M196" s="8">
        <v>25</v>
      </c>
      <c r="N196" s="8"/>
      <c r="O196" s="6" t="s">
        <v>0</v>
      </c>
      <c r="P196" s="6" t="s">
        <v>0</v>
      </c>
      <c r="R196" s="6" t="s">
        <v>0</v>
      </c>
      <c r="S196" s="6" t="s">
        <v>0</v>
      </c>
      <c r="U196" s="6" t="s">
        <v>0</v>
      </c>
      <c r="V196" s="6" t="s">
        <v>0</v>
      </c>
    </row>
    <row r="197" spans="1:22" x14ac:dyDescent="0.3">
      <c r="A197" s="11" t="s">
        <v>221</v>
      </c>
      <c r="B197" s="6" t="s">
        <v>226</v>
      </c>
      <c r="C197" s="7">
        <v>178.7</v>
      </c>
      <c r="D197" s="6" t="s">
        <v>47</v>
      </c>
      <c r="E197" s="8">
        <v>170</v>
      </c>
      <c r="F197" s="8">
        <v>30378.999999999996</v>
      </c>
      <c r="H197" s="9">
        <f t="shared" si="3"/>
        <v>30378.999999999996</v>
      </c>
      <c r="I197" s="6" t="s">
        <v>0</v>
      </c>
      <c r="J197" s="6" t="s">
        <v>0</v>
      </c>
      <c r="L197" s="8">
        <v>170</v>
      </c>
      <c r="M197" s="8">
        <v>30378.999999999996</v>
      </c>
      <c r="N197" s="8"/>
      <c r="O197" s="6" t="s">
        <v>0</v>
      </c>
      <c r="P197" s="6" t="s">
        <v>0</v>
      </c>
      <c r="R197" s="6" t="s">
        <v>0</v>
      </c>
      <c r="S197" s="6" t="s">
        <v>0</v>
      </c>
      <c r="U197" s="6" t="s">
        <v>0</v>
      </c>
      <c r="V197" s="6" t="s">
        <v>0</v>
      </c>
    </row>
    <row r="198" spans="1:22" x14ac:dyDescent="0.3">
      <c r="A198" s="11" t="s">
        <v>221</v>
      </c>
      <c r="B198" s="6" t="s">
        <v>227</v>
      </c>
      <c r="C198" s="7">
        <v>26.54</v>
      </c>
      <c r="D198" s="6" t="s">
        <v>47</v>
      </c>
      <c r="E198" s="8">
        <v>150</v>
      </c>
      <c r="F198" s="8">
        <v>3981</v>
      </c>
      <c r="H198" s="9">
        <f t="shared" si="3"/>
        <v>3981</v>
      </c>
      <c r="I198" s="6" t="s">
        <v>0</v>
      </c>
      <c r="J198" s="6" t="s">
        <v>0</v>
      </c>
      <c r="L198" s="8">
        <v>150</v>
      </c>
      <c r="M198" s="8">
        <v>3981</v>
      </c>
      <c r="N198" s="8"/>
      <c r="O198" s="6" t="s">
        <v>0</v>
      </c>
      <c r="P198" s="6" t="s">
        <v>0</v>
      </c>
      <c r="R198" s="6" t="s">
        <v>0</v>
      </c>
      <c r="S198" s="6" t="s">
        <v>0</v>
      </c>
      <c r="U198" s="6" t="s">
        <v>0</v>
      </c>
      <c r="V198" s="6" t="s">
        <v>0</v>
      </c>
    </row>
    <row r="199" spans="1:22" x14ac:dyDescent="0.3">
      <c r="A199" s="11" t="s">
        <v>221</v>
      </c>
      <c r="B199" s="6" t="s">
        <v>228</v>
      </c>
      <c r="C199" s="7">
        <v>5.92</v>
      </c>
      <c r="D199" s="6" t="s">
        <v>47</v>
      </c>
      <c r="E199" s="8">
        <v>171</v>
      </c>
      <c r="F199" s="8">
        <v>1012.3199999999999</v>
      </c>
      <c r="H199" s="9">
        <f t="shared" si="3"/>
        <v>1012.3199999999999</v>
      </c>
      <c r="I199" s="6" t="s">
        <v>0</v>
      </c>
      <c r="J199" s="6" t="s">
        <v>0</v>
      </c>
      <c r="L199" s="8">
        <v>171</v>
      </c>
      <c r="M199" s="8">
        <v>1012.3199999999999</v>
      </c>
      <c r="N199" s="8"/>
      <c r="O199" s="6" t="s">
        <v>0</v>
      </c>
      <c r="P199" s="6" t="s">
        <v>0</v>
      </c>
      <c r="R199" s="6" t="s">
        <v>0</v>
      </c>
      <c r="S199" s="6" t="s">
        <v>0</v>
      </c>
      <c r="U199" s="6" t="s">
        <v>0</v>
      </c>
      <c r="V199" s="6" t="s">
        <v>0</v>
      </c>
    </row>
    <row r="200" spans="1:22" x14ac:dyDescent="0.3">
      <c r="A200" s="11" t="s">
        <v>221</v>
      </c>
      <c r="B200" s="6" t="s">
        <v>229</v>
      </c>
      <c r="C200" s="7">
        <v>5</v>
      </c>
      <c r="D200" s="6" t="s">
        <v>45</v>
      </c>
      <c r="E200" s="8">
        <v>1</v>
      </c>
      <c r="F200" s="8">
        <v>5</v>
      </c>
      <c r="H200" s="9">
        <f t="shared" si="3"/>
        <v>5</v>
      </c>
      <c r="I200" s="6" t="s">
        <v>0</v>
      </c>
      <c r="J200" s="6" t="s">
        <v>0</v>
      </c>
      <c r="L200" s="6" t="s">
        <v>0</v>
      </c>
      <c r="M200" s="6" t="s">
        <v>0</v>
      </c>
      <c r="O200" s="6" t="s">
        <v>0</v>
      </c>
      <c r="P200" s="6" t="s">
        <v>0</v>
      </c>
      <c r="R200" s="6" t="s">
        <v>0</v>
      </c>
      <c r="S200" s="6" t="s">
        <v>0</v>
      </c>
      <c r="U200" s="8">
        <v>1</v>
      </c>
      <c r="V200" s="8">
        <v>5</v>
      </c>
    </row>
    <row r="201" spans="1:22" x14ac:dyDescent="0.3">
      <c r="A201" s="11" t="s">
        <v>221</v>
      </c>
      <c r="B201" s="6" t="s">
        <v>229</v>
      </c>
      <c r="C201" s="7">
        <v>5</v>
      </c>
      <c r="D201" s="6" t="s">
        <v>45</v>
      </c>
      <c r="E201" s="8">
        <v>380</v>
      </c>
      <c r="F201" s="8">
        <v>1900</v>
      </c>
      <c r="H201" s="9">
        <f t="shared" si="3"/>
        <v>1900</v>
      </c>
      <c r="I201" s="6" t="s">
        <v>0</v>
      </c>
      <c r="J201" s="6" t="s">
        <v>0</v>
      </c>
      <c r="L201" s="8">
        <v>380</v>
      </c>
      <c r="M201" s="8">
        <v>1900</v>
      </c>
      <c r="N201" s="8"/>
      <c r="O201" s="6" t="s">
        <v>0</v>
      </c>
      <c r="P201" s="6" t="s">
        <v>0</v>
      </c>
      <c r="R201" s="6" t="s">
        <v>0</v>
      </c>
      <c r="S201" s="6" t="s">
        <v>0</v>
      </c>
      <c r="U201" s="6" t="s">
        <v>0</v>
      </c>
      <c r="V201" s="6" t="s">
        <v>0</v>
      </c>
    </row>
    <row r="202" spans="1:22" x14ac:dyDescent="0.3">
      <c r="A202" s="11" t="s">
        <v>221</v>
      </c>
      <c r="B202" s="6" t="s">
        <v>230</v>
      </c>
      <c r="C202" s="7">
        <v>6</v>
      </c>
      <c r="D202" s="6" t="s">
        <v>45</v>
      </c>
      <c r="E202" s="8">
        <v>1</v>
      </c>
      <c r="F202" s="8">
        <v>6</v>
      </c>
      <c r="H202" s="9">
        <f t="shared" si="3"/>
        <v>6</v>
      </c>
      <c r="I202" s="6" t="s">
        <v>0</v>
      </c>
      <c r="J202" s="6" t="s">
        <v>0</v>
      </c>
      <c r="L202" s="6" t="s">
        <v>0</v>
      </c>
      <c r="M202" s="6" t="s">
        <v>0</v>
      </c>
      <c r="O202" s="6" t="s">
        <v>0</v>
      </c>
      <c r="P202" s="6" t="s">
        <v>0</v>
      </c>
      <c r="R202" s="6" t="s">
        <v>0</v>
      </c>
      <c r="S202" s="6" t="s">
        <v>0</v>
      </c>
      <c r="U202" s="8">
        <v>1</v>
      </c>
      <c r="V202" s="8">
        <v>6</v>
      </c>
    </row>
    <row r="203" spans="1:22" x14ac:dyDescent="0.3">
      <c r="A203" s="11" t="s">
        <v>221</v>
      </c>
      <c r="B203" s="6" t="s">
        <v>230</v>
      </c>
      <c r="C203" s="7">
        <v>6</v>
      </c>
      <c r="D203" s="6" t="s">
        <v>45</v>
      </c>
      <c r="E203" s="8">
        <v>650</v>
      </c>
      <c r="F203" s="8">
        <v>3900</v>
      </c>
      <c r="H203" s="9">
        <f t="shared" si="3"/>
        <v>3900</v>
      </c>
      <c r="I203" s="6" t="s">
        <v>0</v>
      </c>
      <c r="J203" s="6" t="s">
        <v>0</v>
      </c>
      <c r="L203" s="8">
        <v>650</v>
      </c>
      <c r="M203" s="8">
        <v>3900</v>
      </c>
      <c r="N203" s="8"/>
      <c r="O203" s="6" t="s">
        <v>0</v>
      </c>
      <c r="P203" s="6" t="s">
        <v>0</v>
      </c>
      <c r="R203" s="6" t="s">
        <v>0</v>
      </c>
      <c r="S203" s="6" t="s">
        <v>0</v>
      </c>
      <c r="U203" s="6" t="s">
        <v>0</v>
      </c>
      <c r="V203" s="6" t="s">
        <v>0</v>
      </c>
    </row>
    <row r="204" spans="1:22" x14ac:dyDescent="0.3">
      <c r="A204" s="11" t="s">
        <v>221</v>
      </c>
      <c r="B204" s="6" t="s">
        <v>231</v>
      </c>
      <c r="C204" s="7">
        <v>1</v>
      </c>
      <c r="D204" s="6" t="s">
        <v>45</v>
      </c>
      <c r="E204" s="8">
        <v>1</v>
      </c>
      <c r="F204" s="8">
        <v>1</v>
      </c>
      <c r="H204" s="9">
        <f t="shared" si="3"/>
        <v>1</v>
      </c>
      <c r="I204" s="6" t="s">
        <v>0</v>
      </c>
      <c r="J204" s="6" t="s">
        <v>0</v>
      </c>
      <c r="L204" s="6" t="s">
        <v>0</v>
      </c>
      <c r="M204" s="6" t="s">
        <v>0</v>
      </c>
      <c r="O204" s="6" t="s">
        <v>0</v>
      </c>
      <c r="P204" s="6" t="s">
        <v>0</v>
      </c>
      <c r="R204" s="6" t="s">
        <v>0</v>
      </c>
      <c r="S204" s="6" t="s">
        <v>0</v>
      </c>
      <c r="U204" s="8">
        <v>1</v>
      </c>
      <c r="V204" s="8">
        <v>1</v>
      </c>
    </row>
    <row r="205" spans="1:22" x14ac:dyDescent="0.3">
      <c r="A205" s="11" t="s">
        <v>221</v>
      </c>
      <c r="B205" s="6" t="s">
        <v>231</v>
      </c>
      <c r="C205" s="7">
        <v>1</v>
      </c>
      <c r="D205" s="6" t="s">
        <v>45</v>
      </c>
      <c r="E205" s="8">
        <v>700</v>
      </c>
      <c r="F205" s="8">
        <v>700</v>
      </c>
      <c r="H205" s="9">
        <f t="shared" si="3"/>
        <v>700</v>
      </c>
      <c r="I205" s="6" t="s">
        <v>0</v>
      </c>
      <c r="J205" s="6" t="s">
        <v>0</v>
      </c>
      <c r="L205" s="8">
        <v>700</v>
      </c>
      <c r="M205" s="8">
        <v>700</v>
      </c>
      <c r="N205" s="8"/>
      <c r="O205" s="6" t="s">
        <v>0</v>
      </c>
      <c r="P205" s="6" t="s">
        <v>0</v>
      </c>
      <c r="R205" s="6" t="s">
        <v>0</v>
      </c>
      <c r="S205" s="6" t="s">
        <v>0</v>
      </c>
      <c r="U205" s="6" t="s">
        <v>0</v>
      </c>
      <c r="V205" s="6" t="s">
        <v>0</v>
      </c>
    </row>
    <row r="206" spans="1:22" x14ac:dyDescent="0.3">
      <c r="A206" s="11" t="s">
        <v>221</v>
      </c>
      <c r="B206" s="6" t="s">
        <v>232</v>
      </c>
      <c r="C206" s="7">
        <v>12</v>
      </c>
      <c r="D206" s="6" t="s">
        <v>45</v>
      </c>
      <c r="E206" s="8">
        <v>129.37499999999997</v>
      </c>
      <c r="F206" s="8">
        <v>1552.5</v>
      </c>
      <c r="G206" s="7"/>
      <c r="H206" s="9">
        <f t="shared" si="3"/>
        <v>1552.5</v>
      </c>
      <c r="I206" s="8">
        <v>96.899999999999991</v>
      </c>
      <c r="J206" s="8">
        <v>1162.8</v>
      </c>
      <c r="K206" s="8"/>
      <c r="L206" s="8">
        <v>22.474999999999998</v>
      </c>
      <c r="M206" s="8">
        <v>269.7</v>
      </c>
      <c r="N206" s="8"/>
      <c r="O206" s="6" t="s">
        <v>0</v>
      </c>
      <c r="P206" s="6" t="s">
        <v>0</v>
      </c>
      <c r="R206" s="8">
        <v>10</v>
      </c>
      <c r="S206" s="8">
        <v>120</v>
      </c>
      <c r="T206" s="8"/>
      <c r="U206" s="6" t="s">
        <v>0</v>
      </c>
      <c r="V206" s="6" t="s">
        <v>0</v>
      </c>
    </row>
    <row r="207" spans="1:22" x14ac:dyDescent="0.3">
      <c r="A207" s="11" t="s">
        <v>221</v>
      </c>
      <c r="B207" s="6" t="s">
        <v>234</v>
      </c>
      <c r="C207" s="7">
        <v>51</v>
      </c>
      <c r="D207" s="6" t="s">
        <v>45</v>
      </c>
      <c r="E207" s="8">
        <v>104.67500000000001</v>
      </c>
      <c r="F207" s="8">
        <v>5338.4250000000011</v>
      </c>
      <c r="G207" s="7"/>
      <c r="H207" s="9">
        <f t="shared" si="3"/>
        <v>5338.4250000000011</v>
      </c>
      <c r="I207" s="8">
        <v>72.2</v>
      </c>
      <c r="J207" s="8">
        <v>3682.2000000000003</v>
      </c>
      <c r="K207" s="8"/>
      <c r="L207" s="8">
        <v>22.474999999999998</v>
      </c>
      <c r="M207" s="8">
        <v>1146.2249999999999</v>
      </c>
      <c r="N207" s="8"/>
      <c r="O207" s="6" t="s">
        <v>0</v>
      </c>
      <c r="P207" s="6" t="s">
        <v>0</v>
      </c>
      <c r="R207" s="8">
        <v>10</v>
      </c>
      <c r="S207" s="8">
        <v>510</v>
      </c>
      <c r="T207" s="8"/>
      <c r="U207" s="6" t="s">
        <v>0</v>
      </c>
      <c r="V207" s="6" t="s">
        <v>0</v>
      </c>
    </row>
    <row r="208" spans="1:22" x14ac:dyDescent="0.3">
      <c r="A208" s="11" t="s">
        <v>221</v>
      </c>
      <c r="B208" s="6" t="s">
        <v>233</v>
      </c>
      <c r="C208" s="7">
        <v>51</v>
      </c>
      <c r="D208" s="6" t="s">
        <v>45</v>
      </c>
      <c r="E208" s="8">
        <v>265</v>
      </c>
      <c r="F208" s="8">
        <v>13515</v>
      </c>
      <c r="H208" s="9">
        <f t="shared" si="3"/>
        <v>13515</v>
      </c>
      <c r="I208" s="6" t="s">
        <v>0</v>
      </c>
      <c r="J208" s="6" t="s">
        <v>0</v>
      </c>
      <c r="L208" s="8">
        <v>265</v>
      </c>
      <c r="M208" s="8">
        <v>13515</v>
      </c>
      <c r="N208" s="8"/>
      <c r="O208" s="6" t="s">
        <v>0</v>
      </c>
      <c r="P208" s="6" t="s">
        <v>0</v>
      </c>
      <c r="R208" s="6" t="s">
        <v>0</v>
      </c>
      <c r="S208" s="6" t="s">
        <v>0</v>
      </c>
      <c r="U208" s="6" t="s">
        <v>0</v>
      </c>
      <c r="V208" s="6" t="s">
        <v>0</v>
      </c>
    </row>
    <row r="209" spans="1:22" x14ac:dyDescent="0.3">
      <c r="A209" s="11" t="s">
        <v>235</v>
      </c>
      <c r="B209" s="6" t="s">
        <v>236</v>
      </c>
      <c r="C209" s="7">
        <v>3100.9</v>
      </c>
      <c r="D209" s="6" t="s">
        <v>47</v>
      </c>
      <c r="E209" s="8">
        <v>1.9000000000000001</v>
      </c>
      <c r="F209" s="8">
        <v>5891.7100000000009</v>
      </c>
      <c r="G209" s="7"/>
      <c r="H209" s="9">
        <f t="shared" si="3"/>
        <v>5891.7100000000009</v>
      </c>
      <c r="I209" s="8">
        <v>1.9000000000000004</v>
      </c>
      <c r="J209" s="8">
        <v>5891.7100000000009</v>
      </c>
      <c r="K209" s="8"/>
      <c r="L209" s="6" t="s">
        <v>0</v>
      </c>
      <c r="M209" s="6" t="s">
        <v>0</v>
      </c>
      <c r="O209" s="6" t="s">
        <v>0</v>
      </c>
      <c r="P209" s="6" t="s">
        <v>0</v>
      </c>
      <c r="R209" s="6" t="s">
        <v>0</v>
      </c>
      <c r="S209" s="6" t="s">
        <v>0</v>
      </c>
      <c r="U209" s="6" t="s">
        <v>0</v>
      </c>
      <c r="V209" s="6" t="s">
        <v>0</v>
      </c>
    </row>
    <row r="210" spans="1:22" x14ac:dyDescent="0.3">
      <c r="A210" s="11" t="s">
        <v>235</v>
      </c>
      <c r="B210" s="6" t="s">
        <v>236</v>
      </c>
      <c r="C210" s="7">
        <v>711</v>
      </c>
      <c r="D210" s="6" t="s">
        <v>47</v>
      </c>
      <c r="E210" s="8">
        <v>1.9000000000000001</v>
      </c>
      <c r="F210" s="8">
        <v>1350.9</v>
      </c>
      <c r="G210" s="7"/>
      <c r="H210" s="9">
        <f t="shared" si="3"/>
        <v>1350.9</v>
      </c>
      <c r="I210" s="8">
        <v>1.9000000000000001</v>
      </c>
      <c r="J210" s="8">
        <v>1350.9</v>
      </c>
      <c r="K210" s="8"/>
      <c r="L210" s="6" t="s">
        <v>0</v>
      </c>
      <c r="M210" s="6" t="s">
        <v>0</v>
      </c>
      <c r="O210" s="6" t="s">
        <v>0</v>
      </c>
      <c r="P210" s="6" t="s">
        <v>0</v>
      </c>
      <c r="R210" s="6" t="s">
        <v>0</v>
      </c>
      <c r="S210" s="6" t="s">
        <v>0</v>
      </c>
      <c r="U210" s="6" t="s">
        <v>0</v>
      </c>
      <c r="V210" s="6" t="s">
        <v>0</v>
      </c>
    </row>
    <row r="211" spans="1:22" x14ac:dyDescent="0.3">
      <c r="A211" s="11" t="s">
        <v>235</v>
      </c>
      <c r="B211" s="6" t="s">
        <v>237</v>
      </c>
      <c r="C211" s="7">
        <v>943.59192628118876</v>
      </c>
      <c r="D211" s="6" t="s">
        <v>47</v>
      </c>
      <c r="E211" s="8">
        <v>4.3000000000000007</v>
      </c>
      <c r="F211" s="8">
        <v>4057.4452830091118</v>
      </c>
      <c r="G211" s="7"/>
      <c r="H211" s="9">
        <f t="shared" si="3"/>
        <v>4057.4452830091118</v>
      </c>
      <c r="I211" s="8">
        <v>3.8000000000000003</v>
      </c>
      <c r="J211" s="8">
        <v>3585.6493198685175</v>
      </c>
      <c r="K211" s="8"/>
      <c r="L211" s="8">
        <v>0.5</v>
      </c>
      <c r="M211" s="8">
        <v>471.79596314059438</v>
      </c>
      <c r="N211" s="8"/>
      <c r="O211" s="6" t="s">
        <v>0</v>
      </c>
      <c r="P211" s="6" t="s">
        <v>0</v>
      </c>
      <c r="R211" s="6" t="s">
        <v>0</v>
      </c>
      <c r="S211" s="6" t="s">
        <v>0</v>
      </c>
      <c r="U211" s="6" t="s">
        <v>0</v>
      </c>
      <c r="V211" s="6" t="s">
        <v>0</v>
      </c>
    </row>
    <row r="212" spans="1:22" x14ac:dyDescent="0.3">
      <c r="A212" s="11" t="s">
        <v>238</v>
      </c>
      <c r="B212" s="6" t="s">
        <v>239</v>
      </c>
      <c r="C212" s="7">
        <v>573</v>
      </c>
      <c r="D212" s="6" t="s">
        <v>47</v>
      </c>
      <c r="E212" s="8">
        <v>2.8069999999999999</v>
      </c>
      <c r="F212" s="8">
        <v>1608.4109999999998</v>
      </c>
      <c r="H212" s="9">
        <f t="shared" si="3"/>
        <v>1608.4109999999998</v>
      </c>
      <c r="I212" s="6" t="s">
        <v>0</v>
      </c>
      <c r="J212" s="6" t="s">
        <v>0</v>
      </c>
      <c r="L212" s="8">
        <v>2.8069999999999995</v>
      </c>
      <c r="M212" s="8">
        <v>1608.4109999999998</v>
      </c>
      <c r="N212" s="8"/>
      <c r="O212" s="6" t="s">
        <v>0</v>
      </c>
      <c r="P212" s="6" t="s">
        <v>0</v>
      </c>
      <c r="R212" s="6" t="s">
        <v>0</v>
      </c>
      <c r="S212" s="6" t="s">
        <v>0</v>
      </c>
      <c r="U212" s="6" t="s">
        <v>0</v>
      </c>
      <c r="V212" s="6" t="s">
        <v>0</v>
      </c>
    </row>
    <row r="213" spans="1:22" x14ac:dyDescent="0.3">
      <c r="A213" s="11" t="s">
        <v>238</v>
      </c>
      <c r="B213" s="6" t="s">
        <v>240</v>
      </c>
      <c r="C213" s="7">
        <v>573</v>
      </c>
      <c r="D213" s="6" t="s">
        <v>47</v>
      </c>
      <c r="E213" s="8">
        <v>2.5850000000000004</v>
      </c>
      <c r="F213" s="8">
        <v>1481.2050000000002</v>
      </c>
      <c r="H213" s="9">
        <f t="shared" si="3"/>
        <v>1481.2050000000002</v>
      </c>
      <c r="I213" s="6" t="s">
        <v>0</v>
      </c>
      <c r="J213" s="6" t="s">
        <v>0</v>
      </c>
      <c r="L213" s="8">
        <v>2.5850000000000004</v>
      </c>
      <c r="M213" s="8">
        <v>1481.2050000000002</v>
      </c>
      <c r="N213" s="8"/>
      <c r="O213" s="6" t="s">
        <v>0</v>
      </c>
      <c r="P213" s="6" t="s">
        <v>0</v>
      </c>
      <c r="R213" s="6" t="s">
        <v>0</v>
      </c>
      <c r="S213" s="6" t="s">
        <v>0</v>
      </c>
      <c r="U213" s="6" t="s">
        <v>0</v>
      </c>
      <c r="V213" s="6" t="s">
        <v>0</v>
      </c>
    </row>
    <row r="214" spans="1:22" x14ac:dyDescent="0.3">
      <c r="A214" s="11" t="s">
        <v>238</v>
      </c>
      <c r="B214" s="6" t="s">
        <v>241</v>
      </c>
      <c r="C214" s="7">
        <v>843.42136158742039</v>
      </c>
      <c r="D214" s="6" t="s">
        <v>47</v>
      </c>
      <c r="E214" s="8">
        <v>10.5</v>
      </c>
      <c r="F214" s="8">
        <v>8855.9242966679139</v>
      </c>
      <c r="H214" s="9">
        <f t="shared" si="3"/>
        <v>8855.9242966679139</v>
      </c>
      <c r="I214" s="6" t="s">
        <v>0</v>
      </c>
      <c r="J214" s="6" t="s">
        <v>0</v>
      </c>
      <c r="L214" s="6" t="s">
        <v>0</v>
      </c>
      <c r="M214" s="6" t="s">
        <v>0</v>
      </c>
      <c r="O214" s="8">
        <v>10.5</v>
      </c>
      <c r="P214" s="8">
        <v>8855.9242966679139</v>
      </c>
      <c r="Q214" s="8"/>
      <c r="R214" s="6" t="s">
        <v>0</v>
      </c>
      <c r="S214" s="6" t="s">
        <v>0</v>
      </c>
      <c r="U214" s="6" t="s">
        <v>0</v>
      </c>
      <c r="V214" s="6" t="s">
        <v>0</v>
      </c>
    </row>
    <row r="215" spans="1:22" x14ac:dyDescent="0.3">
      <c r="A215" s="11" t="s">
        <v>242</v>
      </c>
      <c r="B215" s="6" t="s">
        <v>243</v>
      </c>
      <c r="C215" s="7">
        <v>1762</v>
      </c>
      <c r="D215" s="6" t="s">
        <v>47</v>
      </c>
      <c r="E215" s="8">
        <v>56</v>
      </c>
      <c r="F215" s="8">
        <v>98672</v>
      </c>
      <c r="H215" s="9">
        <f t="shared" si="3"/>
        <v>98672</v>
      </c>
      <c r="I215" s="6" t="s">
        <v>0</v>
      </c>
      <c r="J215" s="6" t="s">
        <v>0</v>
      </c>
      <c r="L215" s="6" t="s">
        <v>0</v>
      </c>
      <c r="M215" s="6" t="s">
        <v>0</v>
      </c>
      <c r="O215" s="8">
        <v>56</v>
      </c>
      <c r="P215" s="8">
        <v>98672</v>
      </c>
      <c r="Q215" s="8"/>
      <c r="R215" s="6" t="s">
        <v>0</v>
      </c>
      <c r="S215" s="6" t="s">
        <v>0</v>
      </c>
      <c r="U215" s="6" t="s">
        <v>0</v>
      </c>
      <c r="V215" s="6" t="s">
        <v>0</v>
      </c>
    </row>
    <row r="216" spans="1:22" x14ac:dyDescent="0.3">
      <c r="A216" s="11" t="s">
        <v>242</v>
      </c>
      <c r="B216" s="6" t="s">
        <v>244</v>
      </c>
      <c r="C216" s="7">
        <v>103.630070865775</v>
      </c>
      <c r="D216" s="6" t="s">
        <v>65</v>
      </c>
      <c r="E216" s="8">
        <v>20.72</v>
      </c>
      <c r="F216" s="8">
        <v>2147.2150683388577</v>
      </c>
      <c r="G216" s="7"/>
      <c r="H216" s="9">
        <f t="shared" si="3"/>
        <v>2147.2150683388577</v>
      </c>
      <c r="I216" s="8">
        <v>13.299999999999999</v>
      </c>
      <c r="J216" s="8">
        <v>1378.2799425148073</v>
      </c>
      <c r="K216" s="8"/>
      <c r="L216" s="8">
        <v>7.42</v>
      </c>
      <c r="M216" s="8">
        <v>768.93512582405049</v>
      </c>
      <c r="N216" s="8"/>
      <c r="O216" s="6" t="s">
        <v>0</v>
      </c>
      <c r="P216" s="6" t="s">
        <v>0</v>
      </c>
      <c r="R216" s="6" t="s">
        <v>0</v>
      </c>
      <c r="S216" s="6" t="s">
        <v>0</v>
      </c>
      <c r="U216" s="6" t="s">
        <v>0</v>
      </c>
      <c r="V216" s="6" t="s">
        <v>0</v>
      </c>
    </row>
    <row r="217" spans="1:22" x14ac:dyDescent="0.3">
      <c r="A217" s="11" t="s">
        <v>242</v>
      </c>
      <c r="B217" s="6" t="s">
        <v>245</v>
      </c>
      <c r="C217" s="7">
        <v>70</v>
      </c>
      <c r="D217" s="6" t="s">
        <v>45</v>
      </c>
      <c r="E217" s="8">
        <v>120</v>
      </c>
      <c r="F217" s="8">
        <v>8400</v>
      </c>
      <c r="G217" s="7"/>
      <c r="H217" s="9">
        <f t="shared" si="3"/>
        <v>8400</v>
      </c>
      <c r="I217" s="8">
        <v>120</v>
      </c>
      <c r="J217" s="8">
        <v>8400</v>
      </c>
      <c r="K217" s="8"/>
      <c r="L217" s="6" t="s">
        <v>0</v>
      </c>
      <c r="M217" s="6" t="s">
        <v>0</v>
      </c>
      <c r="O217" s="6" t="s">
        <v>0</v>
      </c>
      <c r="P217" s="6" t="s">
        <v>0</v>
      </c>
      <c r="R217" s="6" t="s">
        <v>0</v>
      </c>
      <c r="S217" s="6" t="s">
        <v>0</v>
      </c>
      <c r="U217" s="6" t="s">
        <v>0</v>
      </c>
      <c r="V217" s="6" t="s">
        <v>0</v>
      </c>
    </row>
    <row r="218" spans="1:22" x14ac:dyDescent="0.3">
      <c r="A218" s="11" t="s">
        <v>242</v>
      </c>
      <c r="B218" s="6" t="s">
        <v>246</v>
      </c>
      <c r="C218" s="7">
        <v>139</v>
      </c>
      <c r="D218" s="6" t="s">
        <v>45</v>
      </c>
      <c r="E218" s="8">
        <v>56</v>
      </c>
      <c r="F218" s="8">
        <v>7784</v>
      </c>
      <c r="H218" s="9">
        <f t="shared" si="3"/>
        <v>7784</v>
      </c>
      <c r="I218" s="6" t="s">
        <v>0</v>
      </c>
      <c r="J218" s="6" t="s">
        <v>0</v>
      </c>
      <c r="L218" s="6" t="s">
        <v>0</v>
      </c>
      <c r="M218" s="6" t="s">
        <v>0</v>
      </c>
      <c r="O218" s="8">
        <v>56</v>
      </c>
      <c r="P218" s="8">
        <v>7784</v>
      </c>
      <c r="Q218" s="8"/>
      <c r="R218" s="6" t="s">
        <v>0</v>
      </c>
      <c r="S218" s="6" t="s">
        <v>0</v>
      </c>
      <c r="U218" s="6" t="s">
        <v>0</v>
      </c>
      <c r="V218" s="6" t="s">
        <v>0</v>
      </c>
    </row>
    <row r="219" spans="1:22" x14ac:dyDescent="0.3">
      <c r="A219" s="11" t="s">
        <v>242</v>
      </c>
      <c r="B219" s="6" t="s">
        <v>247</v>
      </c>
      <c r="C219" s="7">
        <v>70</v>
      </c>
      <c r="D219" s="6" t="s">
        <v>45</v>
      </c>
      <c r="E219" s="8">
        <v>67</v>
      </c>
      <c r="F219" s="8">
        <v>4690</v>
      </c>
      <c r="H219" s="9">
        <f t="shared" si="3"/>
        <v>4690</v>
      </c>
      <c r="I219" s="6" t="s">
        <v>0</v>
      </c>
      <c r="J219" s="6" t="s">
        <v>0</v>
      </c>
      <c r="L219" s="6" t="s">
        <v>0</v>
      </c>
      <c r="M219" s="6" t="s">
        <v>0</v>
      </c>
      <c r="O219" s="8">
        <v>67</v>
      </c>
      <c r="P219" s="8">
        <v>4690</v>
      </c>
      <c r="Q219" s="8"/>
      <c r="R219" s="6" t="s">
        <v>0</v>
      </c>
      <c r="S219" s="6" t="s">
        <v>0</v>
      </c>
      <c r="U219" s="6" t="s">
        <v>0</v>
      </c>
      <c r="V219" s="6" t="s">
        <v>0</v>
      </c>
    </row>
    <row r="220" spans="1:22" x14ac:dyDescent="0.3">
      <c r="A220" s="11" t="s">
        <v>242</v>
      </c>
      <c r="B220" s="6" t="s">
        <v>248</v>
      </c>
      <c r="C220" s="7">
        <v>70</v>
      </c>
      <c r="D220" s="6" t="s">
        <v>45</v>
      </c>
      <c r="E220" s="8">
        <v>60</v>
      </c>
      <c r="F220" s="8">
        <v>4200</v>
      </c>
      <c r="H220" s="9">
        <f t="shared" si="3"/>
        <v>4200</v>
      </c>
      <c r="I220" s="6" t="s">
        <v>0</v>
      </c>
      <c r="J220" s="6" t="s">
        <v>0</v>
      </c>
      <c r="L220" s="6" t="s">
        <v>0</v>
      </c>
      <c r="M220" s="6" t="s">
        <v>0</v>
      </c>
      <c r="O220" s="8">
        <v>60</v>
      </c>
      <c r="P220" s="8">
        <v>4200</v>
      </c>
      <c r="Q220" s="8"/>
      <c r="R220" s="6" t="s">
        <v>0</v>
      </c>
      <c r="S220" s="6" t="s">
        <v>0</v>
      </c>
      <c r="U220" s="6" t="s">
        <v>0</v>
      </c>
      <c r="V220" s="6" t="s">
        <v>0</v>
      </c>
    </row>
    <row r="221" spans="1:22" x14ac:dyDescent="0.3">
      <c r="A221" s="11" t="s">
        <v>249</v>
      </c>
      <c r="B221" s="6" t="s">
        <v>250</v>
      </c>
      <c r="C221" s="7">
        <v>178.7</v>
      </c>
      <c r="D221" s="6" t="s">
        <v>47</v>
      </c>
      <c r="E221" s="8">
        <v>10</v>
      </c>
      <c r="F221" s="8">
        <v>1787</v>
      </c>
      <c r="H221" s="9">
        <f t="shared" si="3"/>
        <v>1787</v>
      </c>
      <c r="I221" s="6" t="s">
        <v>0</v>
      </c>
      <c r="J221" s="6" t="s">
        <v>0</v>
      </c>
      <c r="L221" s="6" t="s">
        <v>0</v>
      </c>
      <c r="M221" s="6" t="s">
        <v>0</v>
      </c>
      <c r="O221" s="8">
        <v>10</v>
      </c>
      <c r="P221" s="8">
        <v>1787</v>
      </c>
      <c r="Q221" s="8"/>
      <c r="R221" s="6" t="s">
        <v>0</v>
      </c>
      <c r="S221" s="6" t="s">
        <v>0</v>
      </c>
      <c r="U221" s="6" t="s">
        <v>0</v>
      </c>
      <c r="V221" s="6" t="s">
        <v>0</v>
      </c>
    </row>
    <row r="222" spans="1:22" x14ac:dyDescent="0.3">
      <c r="A222" s="11" t="s">
        <v>249</v>
      </c>
      <c r="B222" s="6" t="s">
        <v>251</v>
      </c>
      <c r="C222" s="7">
        <v>20.399999999999999</v>
      </c>
      <c r="D222" s="6" t="s">
        <v>47</v>
      </c>
      <c r="E222" s="8">
        <v>7.2992700729927014E-3</v>
      </c>
      <c r="F222" s="8">
        <v>0.14890510948905109</v>
      </c>
      <c r="H222" s="9">
        <f t="shared" si="3"/>
        <v>0.14890510948905109</v>
      </c>
      <c r="I222" s="6" t="s">
        <v>0</v>
      </c>
      <c r="J222" s="6" t="s">
        <v>0</v>
      </c>
      <c r="L222" s="6" t="s">
        <v>0</v>
      </c>
      <c r="M222" s="6" t="s">
        <v>0</v>
      </c>
      <c r="O222" s="6" t="s">
        <v>0</v>
      </c>
      <c r="P222" s="6" t="s">
        <v>0</v>
      </c>
      <c r="R222" s="6" t="s">
        <v>0</v>
      </c>
      <c r="S222" s="6" t="s">
        <v>0</v>
      </c>
      <c r="U222" s="8">
        <v>7.2992700729927005E-3</v>
      </c>
      <c r="V222" s="8">
        <v>0.14890510948905109</v>
      </c>
    </row>
    <row r="223" spans="1:22" x14ac:dyDescent="0.3">
      <c r="A223" s="11" t="s">
        <v>249</v>
      </c>
      <c r="B223" s="6" t="s">
        <v>252</v>
      </c>
      <c r="C223" s="7">
        <v>20.399999999999999</v>
      </c>
      <c r="D223" s="6" t="s">
        <v>47</v>
      </c>
      <c r="E223" s="8">
        <v>31.898000000000003</v>
      </c>
      <c r="F223" s="8">
        <v>650.7192</v>
      </c>
      <c r="G223" s="7"/>
      <c r="H223" s="9">
        <f t="shared" si="3"/>
        <v>650.7192</v>
      </c>
      <c r="I223" s="8">
        <v>20.900000000000002</v>
      </c>
      <c r="J223" s="8">
        <v>426.36</v>
      </c>
      <c r="K223" s="8"/>
      <c r="L223" s="8">
        <v>10.997999999999999</v>
      </c>
      <c r="M223" s="8">
        <v>224.35919999999999</v>
      </c>
      <c r="N223" s="8"/>
      <c r="O223" s="6" t="s">
        <v>0</v>
      </c>
      <c r="P223" s="6" t="s">
        <v>0</v>
      </c>
      <c r="R223" s="6" t="s">
        <v>0</v>
      </c>
      <c r="S223" s="6" t="s">
        <v>0</v>
      </c>
      <c r="U223" s="6" t="s">
        <v>0</v>
      </c>
      <c r="V223" s="6" t="s">
        <v>0</v>
      </c>
    </row>
    <row r="224" spans="1:22" x14ac:dyDescent="0.3">
      <c r="A224" s="11" t="s">
        <v>249</v>
      </c>
      <c r="B224" s="6" t="s">
        <v>253</v>
      </c>
      <c r="C224" s="7">
        <v>40.799999999999997</v>
      </c>
      <c r="D224" s="6" t="s">
        <v>47</v>
      </c>
      <c r="E224" s="8">
        <v>6.0149999999999997</v>
      </c>
      <c r="F224" s="8">
        <v>245.41200000000001</v>
      </c>
      <c r="G224" s="7"/>
      <c r="H224" s="9">
        <f t="shared" si="3"/>
        <v>245.41200000000001</v>
      </c>
      <c r="I224" s="8">
        <v>3.99</v>
      </c>
      <c r="J224" s="8">
        <v>162.792</v>
      </c>
      <c r="K224" s="8"/>
      <c r="L224" s="8">
        <v>2.0249999999999999</v>
      </c>
      <c r="M224" s="8">
        <v>82.61999999999999</v>
      </c>
      <c r="N224" s="8"/>
      <c r="O224" s="6" t="s">
        <v>0</v>
      </c>
      <c r="P224" s="6" t="s">
        <v>0</v>
      </c>
      <c r="R224" s="6" t="s">
        <v>0</v>
      </c>
      <c r="S224" s="6" t="s">
        <v>0</v>
      </c>
      <c r="U224" s="6" t="s">
        <v>0</v>
      </c>
      <c r="V224" s="6" t="s">
        <v>0</v>
      </c>
    </row>
    <row r="225" spans="1:22" x14ac:dyDescent="0.3">
      <c r="A225" s="11" t="s">
        <v>249</v>
      </c>
      <c r="B225" s="6" t="s">
        <v>254</v>
      </c>
      <c r="C225" s="7">
        <v>136.7584384954506</v>
      </c>
      <c r="D225" s="6" t="s">
        <v>65</v>
      </c>
      <c r="E225" s="8">
        <v>12.775</v>
      </c>
      <c r="F225" s="8">
        <v>1747.0890517793814</v>
      </c>
      <c r="G225" s="7"/>
      <c r="H225" s="9">
        <f t="shared" si="3"/>
        <v>1747.0890517793814</v>
      </c>
      <c r="I225" s="8">
        <v>7.6</v>
      </c>
      <c r="J225" s="8">
        <v>1039.3641325654246</v>
      </c>
      <c r="K225" s="8"/>
      <c r="L225" s="8">
        <v>5.1749999999999998</v>
      </c>
      <c r="M225" s="8">
        <v>707.72491921395681</v>
      </c>
      <c r="N225" s="8"/>
      <c r="O225" s="6" t="s">
        <v>0</v>
      </c>
      <c r="P225" s="6" t="s">
        <v>0</v>
      </c>
      <c r="R225" s="6" t="s">
        <v>0</v>
      </c>
      <c r="S225" s="6" t="s">
        <v>0</v>
      </c>
      <c r="U225" s="6" t="s">
        <v>0</v>
      </c>
      <c r="V225" s="6" t="s">
        <v>0</v>
      </c>
    </row>
    <row r="226" spans="1:22" x14ac:dyDescent="0.3">
      <c r="A226" s="11" t="s">
        <v>255</v>
      </c>
      <c r="B226" s="6" t="s">
        <v>256</v>
      </c>
      <c r="C226" s="7">
        <v>105</v>
      </c>
      <c r="D226" s="6" t="s">
        <v>65</v>
      </c>
      <c r="E226" s="8">
        <v>28.313722772277231</v>
      </c>
      <c r="F226" s="8">
        <v>2972.9408910891088</v>
      </c>
      <c r="G226" s="7"/>
      <c r="H226" s="9">
        <f t="shared" si="3"/>
        <v>2972.9408910891088</v>
      </c>
      <c r="I226" s="8">
        <v>15.2</v>
      </c>
      <c r="J226" s="8">
        <v>1596</v>
      </c>
      <c r="K226" s="8"/>
      <c r="L226" s="8">
        <v>13.113722772277226</v>
      </c>
      <c r="M226" s="8">
        <v>1376.9408910891088</v>
      </c>
      <c r="N226" s="8"/>
      <c r="O226" s="6" t="s">
        <v>0</v>
      </c>
      <c r="P226" s="6" t="s">
        <v>0</v>
      </c>
      <c r="R226" s="6" t="s">
        <v>0</v>
      </c>
      <c r="S226" s="6" t="s">
        <v>0</v>
      </c>
      <c r="U226" s="6" t="s">
        <v>0</v>
      </c>
      <c r="V226" s="6" t="s">
        <v>0</v>
      </c>
    </row>
    <row r="227" spans="1:22" x14ac:dyDescent="0.3">
      <c r="A227" s="11" t="s">
        <v>255</v>
      </c>
      <c r="B227" s="6" t="s">
        <v>257</v>
      </c>
      <c r="C227" s="7">
        <v>28</v>
      </c>
      <c r="D227" s="6" t="s">
        <v>65</v>
      </c>
      <c r="E227" s="8">
        <v>2.88</v>
      </c>
      <c r="F227" s="8">
        <v>80.64</v>
      </c>
      <c r="H227" s="9">
        <f t="shared" si="3"/>
        <v>80.64</v>
      </c>
      <c r="I227" s="6" t="s">
        <v>0</v>
      </c>
      <c r="J227" s="6" t="s">
        <v>0</v>
      </c>
      <c r="L227" s="8">
        <v>2.88</v>
      </c>
      <c r="M227" s="8">
        <v>80.64</v>
      </c>
      <c r="N227" s="8"/>
      <c r="O227" s="6" t="s">
        <v>0</v>
      </c>
      <c r="P227" s="6" t="s">
        <v>0</v>
      </c>
      <c r="R227" s="6" t="s">
        <v>0</v>
      </c>
      <c r="S227" s="6" t="s">
        <v>0</v>
      </c>
      <c r="U227" s="6" t="s">
        <v>0</v>
      </c>
      <c r="V227" s="6" t="s">
        <v>0</v>
      </c>
    </row>
    <row r="228" spans="1:22" x14ac:dyDescent="0.3">
      <c r="A228" s="11" t="s">
        <v>255</v>
      </c>
      <c r="B228" s="6" t="s">
        <v>258</v>
      </c>
      <c r="C228" s="7">
        <v>566</v>
      </c>
      <c r="D228" s="6" t="s">
        <v>47</v>
      </c>
      <c r="E228" s="8">
        <v>10.4</v>
      </c>
      <c r="F228" s="8">
        <v>5886.4</v>
      </c>
      <c r="H228" s="9">
        <f t="shared" si="3"/>
        <v>5886.4</v>
      </c>
      <c r="I228" s="6" t="s">
        <v>0</v>
      </c>
      <c r="J228" s="6" t="s">
        <v>0</v>
      </c>
      <c r="L228" s="8">
        <v>10.399999999999999</v>
      </c>
      <c r="M228" s="8">
        <v>5886.4</v>
      </c>
      <c r="N228" s="8"/>
      <c r="O228" s="6" t="s">
        <v>0</v>
      </c>
      <c r="P228" s="6" t="s">
        <v>0</v>
      </c>
      <c r="R228" s="6" t="s">
        <v>0</v>
      </c>
      <c r="S228" s="6" t="s">
        <v>0</v>
      </c>
      <c r="U228" s="6" t="s">
        <v>0</v>
      </c>
      <c r="V228" s="6" t="s">
        <v>0</v>
      </c>
    </row>
    <row r="229" spans="1:22" x14ac:dyDescent="0.3">
      <c r="A229" s="11" t="s">
        <v>255</v>
      </c>
      <c r="B229" s="6" t="s">
        <v>259</v>
      </c>
      <c r="C229" s="7">
        <v>56</v>
      </c>
      <c r="D229" s="6" t="s">
        <v>65</v>
      </c>
      <c r="E229" s="8">
        <v>7.7620000000000005</v>
      </c>
      <c r="F229" s="8">
        <v>434.67200000000003</v>
      </c>
      <c r="G229" s="7"/>
      <c r="H229" s="9">
        <f t="shared" si="3"/>
        <v>434.67200000000003</v>
      </c>
      <c r="I229" s="8">
        <v>5.32</v>
      </c>
      <c r="J229" s="8">
        <v>297.92</v>
      </c>
      <c r="K229" s="8"/>
      <c r="L229" s="8">
        <v>2.4420000000000006</v>
      </c>
      <c r="M229" s="8">
        <v>136.75200000000004</v>
      </c>
      <c r="N229" s="8"/>
      <c r="O229" s="6" t="s">
        <v>0</v>
      </c>
      <c r="P229" s="6" t="s">
        <v>0</v>
      </c>
      <c r="R229" s="6" t="s">
        <v>0</v>
      </c>
      <c r="S229" s="6" t="s">
        <v>0</v>
      </c>
      <c r="U229" s="6" t="s">
        <v>0</v>
      </c>
      <c r="V229" s="6" t="s">
        <v>0</v>
      </c>
    </row>
    <row r="230" spans="1:22" x14ac:dyDescent="0.3">
      <c r="A230" s="11" t="s">
        <v>255</v>
      </c>
      <c r="B230" s="6" t="s">
        <v>260</v>
      </c>
      <c r="C230" s="7">
        <v>8</v>
      </c>
      <c r="D230" s="6" t="s">
        <v>45</v>
      </c>
      <c r="E230" s="8">
        <v>46</v>
      </c>
      <c r="F230" s="8">
        <v>368</v>
      </c>
      <c r="H230" s="9">
        <f t="shared" si="3"/>
        <v>368</v>
      </c>
      <c r="I230" s="6" t="s">
        <v>0</v>
      </c>
      <c r="J230" s="6" t="s">
        <v>0</v>
      </c>
      <c r="L230" s="8">
        <v>46</v>
      </c>
      <c r="M230" s="8">
        <v>368</v>
      </c>
      <c r="N230" s="8"/>
      <c r="O230" s="6" t="s">
        <v>0</v>
      </c>
      <c r="P230" s="6" t="s">
        <v>0</v>
      </c>
      <c r="R230" s="6" t="s">
        <v>0</v>
      </c>
      <c r="S230" s="6" t="s">
        <v>0</v>
      </c>
      <c r="U230" s="6" t="s">
        <v>0</v>
      </c>
      <c r="V230" s="6" t="s">
        <v>0</v>
      </c>
    </row>
    <row r="231" spans="1:22" x14ac:dyDescent="0.3">
      <c r="A231" s="11" t="s">
        <v>255</v>
      </c>
      <c r="B231" s="6" t="s">
        <v>261</v>
      </c>
      <c r="C231" s="7">
        <v>555.22807321249991</v>
      </c>
      <c r="D231" s="6" t="s">
        <v>47</v>
      </c>
      <c r="E231" s="8">
        <v>4.4547704631784919</v>
      </c>
      <c r="F231" s="8">
        <v>2473.4136208745499</v>
      </c>
      <c r="H231" s="9">
        <f t="shared" si="3"/>
        <v>2473.4136208745499</v>
      </c>
      <c r="I231" s="6" t="s">
        <v>0</v>
      </c>
      <c r="J231" s="6" t="s">
        <v>0</v>
      </c>
      <c r="L231" s="8">
        <v>4.4547704631784919</v>
      </c>
      <c r="M231" s="8">
        <v>2473.4136208745499</v>
      </c>
      <c r="N231" s="8"/>
      <c r="O231" s="6" t="s">
        <v>0</v>
      </c>
      <c r="P231" s="6" t="s">
        <v>0</v>
      </c>
      <c r="R231" s="6" t="s">
        <v>0</v>
      </c>
      <c r="S231" s="6" t="s">
        <v>0</v>
      </c>
      <c r="U231" s="6" t="s">
        <v>0</v>
      </c>
      <c r="V231" s="6" t="s">
        <v>0</v>
      </c>
    </row>
    <row r="232" spans="1:22" x14ac:dyDescent="0.3">
      <c r="A232" s="11" t="s">
        <v>255</v>
      </c>
      <c r="B232" s="6" t="s">
        <v>262</v>
      </c>
      <c r="C232" s="7">
        <v>555.22807321249991</v>
      </c>
      <c r="D232" s="6" t="s">
        <v>47</v>
      </c>
      <c r="E232" s="8">
        <v>23.37</v>
      </c>
      <c r="F232" s="8">
        <v>12975.680070976123</v>
      </c>
      <c r="G232" s="7"/>
      <c r="H232" s="9">
        <f t="shared" si="3"/>
        <v>12975.680070976123</v>
      </c>
      <c r="I232" s="8">
        <v>23.37</v>
      </c>
      <c r="J232" s="8">
        <v>12975.680070976123</v>
      </c>
      <c r="K232" s="8"/>
      <c r="L232" s="6" t="s">
        <v>0</v>
      </c>
      <c r="M232" s="6" t="s">
        <v>0</v>
      </c>
      <c r="O232" s="6" t="s">
        <v>0</v>
      </c>
      <c r="P232" s="6" t="s">
        <v>0</v>
      </c>
      <c r="R232" s="6" t="s">
        <v>0</v>
      </c>
      <c r="S232" s="6" t="s">
        <v>0</v>
      </c>
      <c r="U232" s="6" t="s">
        <v>0</v>
      </c>
      <c r="V232" s="6" t="s">
        <v>0</v>
      </c>
    </row>
    <row r="233" spans="1:22" x14ac:dyDescent="0.3">
      <c r="A233" s="11" t="s">
        <v>255</v>
      </c>
      <c r="B233" s="6" t="s">
        <v>263</v>
      </c>
      <c r="C233" s="7">
        <v>42.5</v>
      </c>
      <c r="D233" s="6" t="s">
        <v>47</v>
      </c>
      <c r="E233" s="8">
        <v>16.383000000000003</v>
      </c>
      <c r="F233" s="8">
        <v>696.27750000000015</v>
      </c>
      <c r="G233" s="7"/>
      <c r="H233" s="9">
        <f t="shared" si="3"/>
        <v>696.27750000000015</v>
      </c>
      <c r="I233" s="8">
        <v>5.9850000000000003</v>
      </c>
      <c r="J233" s="8">
        <v>254.36250000000001</v>
      </c>
      <c r="K233" s="8"/>
      <c r="L233" s="8">
        <v>10.398</v>
      </c>
      <c r="M233" s="8">
        <v>441.91500000000002</v>
      </c>
      <c r="N233" s="8"/>
      <c r="O233" s="6" t="s">
        <v>0</v>
      </c>
      <c r="P233" s="6" t="s">
        <v>0</v>
      </c>
      <c r="R233" s="6" t="s">
        <v>0</v>
      </c>
      <c r="S233" s="6" t="s">
        <v>0</v>
      </c>
      <c r="U233" s="6" t="s">
        <v>0</v>
      </c>
      <c r="V233" s="6" t="s">
        <v>0</v>
      </c>
    </row>
    <row r="234" spans="1:22" x14ac:dyDescent="0.3">
      <c r="A234" s="11" t="s">
        <v>255</v>
      </c>
      <c r="B234" s="6" t="s">
        <v>264</v>
      </c>
      <c r="C234" s="7">
        <v>85</v>
      </c>
      <c r="D234" s="6" t="s">
        <v>47</v>
      </c>
      <c r="E234" s="8">
        <v>11.444000000000001</v>
      </c>
      <c r="F234" s="8">
        <v>972.74</v>
      </c>
      <c r="G234" s="7"/>
      <c r="H234" s="9">
        <f t="shared" si="3"/>
        <v>972.74</v>
      </c>
      <c r="I234" s="8">
        <v>7.6</v>
      </c>
      <c r="J234" s="8">
        <v>646</v>
      </c>
      <c r="K234" s="8"/>
      <c r="L234" s="8">
        <v>3.8439999999999994</v>
      </c>
      <c r="M234" s="8">
        <v>326.73999999999995</v>
      </c>
      <c r="N234" s="8"/>
      <c r="O234" s="6" t="s">
        <v>0</v>
      </c>
      <c r="P234" s="6" t="s">
        <v>0</v>
      </c>
      <c r="R234" s="6" t="s">
        <v>0</v>
      </c>
      <c r="S234" s="6" t="s">
        <v>0</v>
      </c>
      <c r="U234" s="6" t="s">
        <v>0</v>
      </c>
      <c r="V234" s="6" t="s">
        <v>0</v>
      </c>
    </row>
    <row r="235" spans="1:22" x14ac:dyDescent="0.3">
      <c r="A235" s="11" t="s">
        <v>255</v>
      </c>
      <c r="B235" s="6" t="s">
        <v>265</v>
      </c>
      <c r="C235" s="7">
        <v>9</v>
      </c>
      <c r="D235" s="6" t="s">
        <v>47</v>
      </c>
      <c r="E235" s="8">
        <v>20.270000000000003</v>
      </c>
      <c r="F235" s="8">
        <v>182.43</v>
      </c>
      <c r="G235" s="7"/>
      <c r="H235" s="9">
        <f t="shared" si="3"/>
        <v>182.43</v>
      </c>
      <c r="I235" s="8">
        <v>16.720000000000002</v>
      </c>
      <c r="J235" s="8">
        <v>150.48000000000002</v>
      </c>
      <c r="K235" s="8"/>
      <c r="L235" s="8">
        <v>3.5500000000000003</v>
      </c>
      <c r="M235" s="8">
        <v>31.950000000000003</v>
      </c>
      <c r="N235" s="8"/>
      <c r="O235" s="6" t="s">
        <v>0</v>
      </c>
      <c r="P235" s="6" t="s">
        <v>0</v>
      </c>
      <c r="R235" s="6" t="s">
        <v>0</v>
      </c>
      <c r="S235" s="6" t="s">
        <v>0</v>
      </c>
      <c r="U235" s="6" t="s">
        <v>0</v>
      </c>
      <c r="V235" s="6" t="s">
        <v>0</v>
      </c>
    </row>
    <row r="236" spans="1:22" x14ac:dyDescent="0.3">
      <c r="A236" s="11" t="s">
        <v>255</v>
      </c>
      <c r="B236" s="6" t="s">
        <v>266</v>
      </c>
      <c r="C236" s="7">
        <v>9</v>
      </c>
      <c r="D236" s="6" t="s">
        <v>47</v>
      </c>
      <c r="E236" s="8">
        <v>4.1760000000000002</v>
      </c>
      <c r="F236" s="8">
        <v>37.584000000000003</v>
      </c>
      <c r="H236" s="9">
        <f t="shared" si="3"/>
        <v>37.584000000000003</v>
      </c>
      <c r="I236" s="6" t="s">
        <v>0</v>
      </c>
      <c r="J236" s="6" t="s">
        <v>0</v>
      </c>
      <c r="L236" s="8">
        <v>4.1760000000000002</v>
      </c>
      <c r="M236" s="8">
        <v>37.584000000000003</v>
      </c>
      <c r="N236" s="8"/>
      <c r="O236" s="6" t="s">
        <v>0</v>
      </c>
      <c r="P236" s="6" t="s">
        <v>0</v>
      </c>
      <c r="R236" s="6" t="s">
        <v>0</v>
      </c>
      <c r="S236" s="6" t="s">
        <v>0</v>
      </c>
      <c r="U236" s="6" t="s">
        <v>0</v>
      </c>
      <c r="V236" s="6" t="s">
        <v>0</v>
      </c>
    </row>
    <row r="237" spans="1:22" x14ac:dyDescent="0.3">
      <c r="A237" s="11" t="s">
        <v>255</v>
      </c>
      <c r="B237" s="6" t="s">
        <v>267</v>
      </c>
      <c r="C237" s="7">
        <v>20</v>
      </c>
      <c r="D237" s="6" t="s">
        <v>65</v>
      </c>
      <c r="E237" s="8">
        <v>32</v>
      </c>
      <c r="F237" s="8">
        <v>640</v>
      </c>
      <c r="G237" s="7"/>
      <c r="H237" s="9">
        <f t="shared" si="3"/>
        <v>640</v>
      </c>
      <c r="I237" s="8">
        <v>19</v>
      </c>
      <c r="J237" s="8">
        <v>380</v>
      </c>
      <c r="K237" s="8"/>
      <c r="L237" s="8">
        <v>13</v>
      </c>
      <c r="M237" s="8">
        <v>260</v>
      </c>
      <c r="N237" s="8"/>
      <c r="O237" s="6" t="s">
        <v>0</v>
      </c>
      <c r="P237" s="6" t="s">
        <v>0</v>
      </c>
      <c r="R237" s="6" t="s">
        <v>0</v>
      </c>
      <c r="S237" s="6" t="s">
        <v>0</v>
      </c>
      <c r="U237" s="6" t="s">
        <v>0</v>
      </c>
      <c r="V237" s="6" t="s">
        <v>0</v>
      </c>
    </row>
    <row r="238" spans="1:22" x14ac:dyDescent="0.3">
      <c r="A238" s="11" t="s">
        <v>255</v>
      </c>
      <c r="B238" s="6" t="s">
        <v>268</v>
      </c>
      <c r="C238" s="7">
        <v>2</v>
      </c>
      <c r="D238" s="6" t="s">
        <v>45</v>
      </c>
      <c r="E238" s="8">
        <v>150</v>
      </c>
      <c r="F238" s="8">
        <v>300</v>
      </c>
      <c r="H238" s="9">
        <f t="shared" si="3"/>
        <v>300</v>
      </c>
      <c r="I238" s="6" t="s">
        <v>0</v>
      </c>
      <c r="J238" s="6" t="s">
        <v>0</v>
      </c>
      <c r="L238" s="6" t="s">
        <v>0</v>
      </c>
      <c r="M238" s="6" t="s">
        <v>0</v>
      </c>
      <c r="O238" s="8">
        <v>150</v>
      </c>
      <c r="P238" s="8">
        <v>300</v>
      </c>
      <c r="Q238" s="8"/>
      <c r="R238" s="6" t="s">
        <v>0</v>
      </c>
      <c r="S238" s="6" t="s">
        <v>0</v>
      </c>
      <c r="U238" s="6" t="s">
        <v>0</v>
      </c>
      <c r="V238" s="6" t="s">
        <v>0</v>
      </c>
    </row>
    <row r="239" spans="1:22" x14ac:dyDescent="0.3">
      <c r="A239" s="11" t="s">
        <v>255</v>
      </c>
      <c r="B239" s="6" t="s">
        <v>269</v>
      </c>
      <c r="C239" s="7">
        <v>2</v>
      </c>
      <c r="D239" s="6" t="s">
        <v>45</v>
      </c>
      <c r="E239" s="8">
        <v>42.480000000000004</v>
      </c>
      <c r="F239" s="8">
        <v>84.960000000000008</v>
      </c>
      <c r="G239" s="7"/>
      <c r="H239" s="9">
        <f t="shared" si="3"/>
        <v>84.960000000000008</v>
      </c>
      <c r="I239" s="8">
        <v>38</v>
      </c>
      <c r="J239" s="8">
        <v>76</v>
      </c>
      <c r="K239" s="8"/>
      <c r="L239" s="8">
        <v>4.4800000000000004</v>
      </c>
      <c r="M239" s="8">
        <v>8.9600000000000009</v>
      </c>
      <c r="N239" s="8"/>
      <c r="O239" s="6" t="s">
        <v>0</v>
      </c>
      <c r="P239" s="6" t="s">
        <v>0</v>
      </c>
      <c r="R239" s="6" t="s">
        <v>0</v>
      </c>
      <c r="S239" s="6" t="s">
        <v>0</v>
      </c>
      <c r="U239" s="6" t="s">
        <v>0</v>
      </c>
      <c r="V239" s="6" t="s">
        <v>0</v>
      </c>
    </row>
    <row r="240" spans="1:22" x14ac:dyDescent="0.3">
      <c r="A240" s="11" t="s">
        <v>255</v>
      </c>
      <c r="B240" s="6" t="s">
        <v>270</v>
      </c>
      <c r="C240" s="7">
        <v>9</v>
      </c>
      <c r="D240" s="6" t="s">
        <v>47</v>
      </c>
      <c r="E240" s="8">
        <v>34.081249999999997</v>
      </c>
      <c r="F240" s="8">
        <v>306.73124999999999</v>
      </c>
      <c r="G240" s="7"/>
      <c r="H240" s="9">
        <f t="shared" si="3"/>
        <v>306.73124999999999</v>
      </c>
      <c r="I240" s="8">
        <v>19.95</v>
      </c>
      <c r="J240" s="8">
        <v>179.54999999999998</v>
      </c>
      <c r="K240" s="8"/>
      <c r="L240" s="8">
        <v>14.131250000000001</v>
      </c>
      <c r="M240" s="8">
        <v>127.18125000000001</v>
      </c>
      <c r="N240" s="8"/>
      <c r="O240" s="6" t="s">
        <v>0</v>
      </c>
      <c r="P240" s="6" t="s">
        <v>0</v>
      </c>
      <c r="R240" s="6" t="s">
        <v>0</v>
      </c>
      <c r="S240" s="6" t="s">
        <v>0</v>
      </c>
      <c r="U240" s="6" t="s">
        <v>0</v>
      </c>
      <c r="V240" s="6" t="s">
        <v>0</v>
      </c>
    </row>
    <row r="241" spans="1:22" x14ac:dyDescent="0.3">
      <c r="A241" s="11" t="s">
        <v>255</v>
      </c>
      <c r="B241" s="6" t="s">
        <v>271</v>
      </c>
      <c r="C241" s="7">
        <v>9</v>
      </c>
      <c r="D241" s="6" t="s">
        <v>47</v>
      </c>
      <c r="E241" s="8">
        <v>8.8549999999999986</v>
      </c>
      <c r="F241" s="8">
        <v>79.694999999999993</v>
      </c>
      <c r="H241" s="9">
        <f t="shared" si="3"/>
        <v>79.694999999999993</v>
      </c>
      <c r="I241" s="6" t="s">
        <v>0</v>
      </c>
      <c r="J241" s="6" t="s">
        <v>0</v>
      </c>
      <c r="L241" s="8">
        <v>8.8549999999999986</v>
      </c>
      <c r="M241" s="8">
        <v>79.694999999999993</v>
      </c>
      <c r="N241" s="8"/>
      <c r="O241" s="6" t="s">
        <v>0</v>
      </c>
      <c r="P241" s="6" t="s">
        <v>0</v>
      </c>
      <c r="R241" s="6" t="s">
        <v>0</v>
      </c>
      <c r="S241" s="6" t="s">
        <v>0</v>
      </c>
      <c r="U241" s="6" t="s">
        <v>0</v>
      </c>
      <c r="V241" s="6" t="s">
        <v>0</v>
      </c>
    </row>
    <row r="242" spans="1:22" x14ac:dyDescent="0.3">
      <c r="A242" s="11" t="s">
        <v>255</v>
      </c>
      <c r="B242" s="6" t="s">
        <v>272</v>
      </c>
      <c r="C242" s="7">
        <v>9</v>
      </c>
      <c r="D242" s="6" t="s">
        <v>47</v>
      </c>
      <c r="E242" s="8">
        <v>17.829999999999998</v>
      </c>
      <c r="F242" s="8">
        <v>160.47</v>
      </c>
      <c r="G242" s="7"/>
      <c r="H242" s="9">
        <f t="shared" si="3"/>
        <v>160.47</v>
      </c>
      <c r="I242" s="8">
        <v>7.98</v>
      </c>
      <c r="J242" s="8">
        <v>71.820000000000007</v>
      </c>
      <c r="K242" s="8"/>
      <c r="L242" s="8">
        <v>9.85</v>
      </c>
      <c r="M242" s="8">
        <v>88.649999999999991</v>
      </c>
      <c r="N242" s="8"/>
      <c r="O242" s="6" t="s">
        <v>0</v>
      </c>
      <c r="P242" s="6" t="s">
        <v>0</v>
      </c>
      <c r="R242" s="6" t="s">
        <v>0</v>
      </c>
      <c r="S242" s="6" t="s">
        <v>0</v>
      </c>
      <c r="U242" s="6" t="s">
        <v>0</v>
      </c>
      <c r="V242" s="6" t="s">
        <v>0</v>
      </c>
    </row>
    <row r="243" spans="1:22" x14ac:dyDescent="0.3">
      <c r="A243" s="11" t="s">
        <v>255</v>
      </c>
      <c r="B243" s="6" t="s">
        <v>273</v>
      </c>
      <c r="C243" s="7">
        <v>9</v>
      </c>
      <c r="D243" s="6" t="s">
        <v>47</v>
      </c>
      <c r="E243" s="8">
        <v>49.050000000000004</v>
      </c>
      <c r="F243" s="8">
        <v>441.45000000000005</v>
      </c>
      <c r="G243" s="7"/>
      <c r="H243" s="9">
        <f t="shared" si="3"/>
        <v>441.45000000000005</v>
      </c>
      <c r="I243" s="8">
        <v>31.92</v>
      </c>
      <c r="J243" s="8">
        <v>287.28000000000003</v>
      </c>
      <c r="K243" s="8"/>
      <c r="L243" s="8">
        <v>17.130000000000003</v>
      </c>
      <c r="M243" s="8">
        <v>154.17000000000002</v>
      </c>
      <c r="N243" s="8"/>
      <c r="O243" s="6" t="s">
        <v>0</v>
      </c>
      <c r="P243" s="6" t="s">
        <v>0</v>
      </c>
      <c r="R243" s="6" t="s">
        <v>0</v>
      </c>
      <c r="S243" s="6" t="s">
        <v>0</v>
      </c>
      <c r="U243" s="6" t="s">
        <v>0</v>
      </c>
      <c r="V243" s="6" t="s">
        <v>0</v>
      </c>
    </row>
    <row r="244" spans="1:22" x14ac:dyDescent="0.3">
      <c r="A244" s="11" t="s">
        <v>255</v>
      </c>
      <c r="B244" s="6" t="s">
        <v>274</v>
      </c>
      <c r="C244" s="7">
        <v>1</v>
      </c>
      <c r="D244" s="6" t="s">
        <v>4</v>
      </c>
      <c r="E244" s="8">
        <v>9.5238095238095247E-2</v>
      </c>
      <c r="F244" s="8">
        <v>9.5238095238095247E-2</v>
      </c>
      <c r="H244" s="9">
        <f t="shared" si="3"/>
        <v>9.5238095238095247E-2</v>
      </c>
      <c r="I244" s="6" t="s">
        <v>0</v>
      </c>
      <c r="J244" s="6" t="s">
        <v>0</v>
      </c>
      <c r="L244" s="6" t="s">
        <v>0</v>
      </c>
      <c r="M244" s="6" t="s">
        <v>0</v>
      </c>
      <c r="O244" s="6" t="s">
        <v>0</v>
      </c>
      <c r="P244" s="6" t="s">
        <v>0</v>
      </c>
      <c r="R244" s="6" t="s">
        <v>0</v>
      </c>
      <c r="S244" s="6" t="s">
        <v>0</v>
      </c>
      <c r="U244" s="8">
        <v>9.5238095238095247E-2</v>
      </c>
      <c r="V244" s="8">
        <v>9.5238095238095247E-2</v>
      </c>
    </row>
    <row r="245" spans="1:22" x14ac:dyDescent="0.3">
      <c r="A245" s="11" t="s">
        <v>255</v>
      </c>
      <c r="B245" s="6" t="s">
        <v>275</v>
      </c>
      <c r="C245" s="7">
        <v>20</v>
      </c>
      <c r="D245" s="6" t="s">
        <v>47</v>
      </c>
      <c r="E245" s="8">
        <v>31.276000000000003</v>
      </c>
      <c r="F245" s="8">
        <v>625.52</v>
      </c>
      <c r="G245" s="7"/>
      <c r="H245" s="9">
        <f t="shared" si="3"/>
        <v>625.52</v>
      </c>
      <c r="I245" s="8">
        <v>15.2</v>
      </c>
      <c r="J245" s="8">
        <v>304</v>
      </c>
      <c r="K245" s="8"/>
      <c r="L245" s="8">
        <v>16.076000000000001</v>
      </c>
      <c r="M245" s="8">
        <v>321.52</v>
      </c>
      <c r="N245" s="8"/>
      <c r="O245" s="6" t="s">
        <v>0</v>
      </c>
      <c r="P245" s="6" t="s">
        <v>0</v>
      </c>
      <c r="R245" s="6" t="s">
        <v>0</v>
      </c>
      <c r="S245" s="6" t="s">
        <v>0</v>
      </c>
      <c r="U245" s="6" t="s">
        <v>0</v>
      </c>
      <c r="V245" s="6" t="s">
        <v>0</v>
      </c>
    </row>
    <row r="246" spans="1:22" x14ac:dyDescent="0.3">
      <c r="A246" s="11" t="s">
        <v>255</v>
      </c>
      <c r="B246" s="6" t="s">
        <v>276</v>
      </c>
      <c r="C246" s="7">
        <v>210</v>
      </c>
      <c r="D246" s="6" t="s">
        <v>47</v>
      </c>
      <c r="E246" s="8">
        <v>9.5238095238095247E-3</v>
      </c>
      <c r="F246" s="8">
        <v>2</v>
      </c>
      <c r="H246" s="9">
        <f t="shared" si="3"/>
        <v>2</v>
      </c>
      <c r="I246" s="6" t="s">
        <v>0</v>
      </c>
      <c r="J246" s="6" t="s">
        <v>0</v>
      </c>
      <c r="L246" s="6" t="s">
        <v>0</v>
      </c>
      <c r="M246" s="6" t="s">
        <v>0</v>
      </c>
      <c r="O246" s="6" t="s">
        <v>0</v>
      </c>
      <c r="P246" s="6" t="s">
        <v>0</v>
      </c>
      <c r="R246" s="6" t="s">
        <v>0</v>
      </c>
      <c r="S246" s="6" t="s">
        <v>0</v>
      </c>
      <c r="U246" s="8">
        <v>9.5238095238095247E-3</v>
      </c>
      <c r="V246" s="8">
        <v>2</v>
      </c>
    </row>
    <row r="247" spans="1:22" x14ac:dyDescent="0.3">
      <c r="A247" s="11" t="s">
        <v>255</v>
      </c>
      <c r="B247" s="6" t="s">
        <v>277</v>
      </c>
      <c r="C247" s="7">
        <v>210</v>
      </c>
      <c r="D247" s="6" t="s">
        <v>47</v>
      </c>
      <c r="E247" s="8">
        <v>11.773400000000001</v>
      </c>
      <c r="F247" s="8">
        <v>2472.4140000000002</v>
      </c>
      <c r="G247" s="7"/>
      <c r="H247" s="9">
        <f t="shared" si="3"/>
        <v>2472.4140000000002</v>
      </c>
      <c r="I247" s="8">
        <v>6.7830000000000004</v>
      </c>
      <c r="J247" s="8">
        <v>1424.43</v>
      </c>
      <c r="K247" s="8"/>
      <c r="L247" s="8">
        <v>4.9904000000000011</v>
      </c>
      <c r="M247" s="8">
        <v>1047.9840000000002</v>
      </c>
      <c r="N247" s="8"/>
      <c r="O247" s="6" t="s">
        <v>0</v>
      </c>
      <c r="P247" s="6" t="s">
        <v>0</v>
      </c>
      <c r="R247" s="6" t="s">
        <v>0</v>
      </c>
      <c r="S247" s="6" t="s">
        <v>0</v>
      </c>
      <c r="U247" s="6" t="s">
        <v>0</v>
      </c>
      <c r="V247" s="6" t="s">
        <v>0</v>
      </c>
    </row>
    <row r="248" spans="1:22" x14ac:dyDescent="0.3">
      <c r="A248" s="11" t="s">
        <v>255</v>
      </c>
      <c r="B248" s="6" t="s">
        <v>278</v>
      </c>
      <c r="C248" s="7">
        <v>210</v>
      </c>
      <c r="D248" s="6" t="s">
        <v>47</v>
      </c>
      <c r="E248" s="8">
        <v>12.105</v>
      </c>
      <c r="F248" s="8">
        <v>2542.0500000000002</v>
      </c>
      <c r="G248" s="7"/>
      <c r="H248" s="9">
        <f t="shared" si="3"/>
        <v>2542.0500000000002</v>
      </c>
      <c r="I248" s="8">
        <v>7.98</v>
      </c>
      <c r="J248" s="8">
        <v>1675.8000000000002</v>
      </c>
      <c r="K248" s="8"/>
      <c r="L248" s="8">
        <v>4.125</v>
      </c>
      <c r="M248" s="8">
        <v>866.25</v>
      </c>
      <c r="N248" s="8"/>
      <c r="O248" s="6" t="s">
        <v>0</v>
      </c>
      <c r="P248" s="6" t="s">
        <v>0</v>
      </c>
      <c r="R248" s="6" t="s">
        <v>0</v>
      </c>
      <c r="S248" s="6" t="s">
        <v>0</v>
      </c>
      <c r="U248" s="6" t="s">
        <v>0</v>
      </c>
      <c r="V248" s="6" t="s">
        <v>0</v>
      </c>
    </row>
    <row r="249" spans="1:22" x14ac:dyDescent="0.3">
      <c r="A249" s="11" t="s">
        <v>279</v>
      </c>
      <c r="B249" s="6" t="s">
        <v>280</v>
      </c>
      <c r="C249" s="7">
        <v>47</v>
      </c>
      <c r="D249" s="6" t="s">
        <v>45</v>
      </c>
      <c r="E249" s="8">
        <v>211.04042553191493</v>
      </c>
      <c r="F249" s="8">
        <v>9918.9000000000033</v>
      </c>
      <c r="H249" s="9">
        <f t="shared" si="3"/>
        <v>9918.9000000000033</v>
      </c>
      <c r="I249" s="6" t="s">
        <v>0</v>
      </c>
      <c r="J249" s="6" t="s">
        <v>0</v>
      </c>
      <c r="L249" s="8">
        <v>211.04042553191496</v>
      </c>
      <c r="M249" s="8">
        <v>9918.9000000000033</v>
      </c>
      <c r="N249" s="8"/>
      <c r="O249" s="6" t="s">
        <v>0</v>
      </c>
      <c r="P249" s="6" t="s">
        <v>0</v>
      </c>
      <c r="R249" s="6" t="s">
        <v>0</v>
      </c>
      <c r="S249" s="6" t="s">
        <v>0</v>
      </c>
      <c r="U249" s="6" t="s">
        <v>0</v>
      </c>
      <c r="V249" s="6" t="s">
        <v>0</v>
      </c>
    </row>
    <row r="250" spans="1:22" x14ac:dyDescent="0.3">
      <c r="A250" s="11" t="s">
        <v>281</v>
      </c>
      <c r="B250" s="6" t="s">
        <v>282</v>
      </c>
      <c r="C250" s="7">
        <v>555.22807321249991</v>
      </c>
      <c r="D250" s="6" t="s">
        <v>47</v>
      </c>
      <c r="E250" s="8">
        <v>14.700000000000001</v>
      </c>
      <c r="F250" s="8">
        <v>8161.8526762237489</v>
      </c>
      <c r="H250" s="9">
        <f t="shared" si="3"/>
        <v>8161.8526762237489</v>
      </c>
      <c r="I250" s="6" t="s">
        <v>0</v>
      </c>
      <c r="J250" s="6" t="s">
        <v>0</v>
      </c>
      <c r="L250" s="6" t="s">
        <v>0</v>
      </c>
      <c r="M250" s="6" t="s">
        <v>0</v>
      </c>
      <c r="O250" s="8">
        <v>14.700000000000001</v>
      </c>
      <c r="P250" s="8">
        <v>8161.8526762237489</v>
      </c>
      <c r="Q250" s="8"/>
      <c r="R250" s="6" t="s">
        <v>0</v>
      </c>
      <c r="S250" s="6" t="s">
        <v>0</v>
      </c>
      <c r="U250" s="6" t="s">
        <v>0</v>
      </c>
      <c r="V250" s="6" t="s">
        <v>0</v>
      </c>
    </row>
    <row r="251" spans="1:22" x14ac:dyDescent="0.3">
      <c r="A251" s="11" t="s">
        <v>283</v>
      </c>
      <c r="B251" s="6" t="s">
        <v>284</v>
      </c>
      <c r="C251" s="7">
        <v>75</v>
      </c>
      <c r="D251" s="6" t="s">
        <v>47</v>
      </c>
      <c r="E251" s="8">
        <v>130</v>
      </c>
      <c r="F251" s="8">
        <v>9750</v>
      </c>
      <c r="H251" s="9">
        <f t="shared" si="3"/>
        <v>9750</v>
      </c>
      <c r="I251" s="6" t="s">
        <v>0</v>
      </c>
      <c r="J251" s="6" t="s">
        <v>0</v>
      </c>
      <c r="L251" s="8">
        <v>130</v>
      </c>
      <c r="M251" s="8">
        <v>9750</v>
      </c>
      <c r="N251" s="8"/>
      <c r="O251" s="6" t="s">
        <v>0</v>
      </c>
      <c r="P251" s="6" t="s">
        <v>0</v>
      </c>
      <c r="R251" s="6" t="s">
        <v>0</v>
      </c>
      <c r="S251" s="6" t="s">
        <v>0</v>
      </c>
      <c r="U251" s="6" t="s">
        <v>0</v>
      </c>
      <c r="V251" s="6" t="s">
        <v>0</v>
      </c>
    </row>
    <row r="252" spans="1:22" x14ac:dyDescent="0.3">
      <c r="A252" s="11" t="s">
        <v>283</v>
      </c>
      <c r="B252" s="6" t="s">
        <v>285</v>
      </c>
      <c r="C252" s="7">
        <v>260.89999999999998</v>
      </c>
      <c r="D252" s="6" t="s">
        <v>47</v>
      </c>
      <c r="E252" s="8">
        <v>25</v>
      </c>
      <c r="F252" s="8">
        <v>6522.4999999999991</v>
      </c>
      <c r="H252" s="9">
        <f t="shared" si="3"/>
        <v>6522.4999999999991</v>
      </c>
      <c r="I252" s="6" t="s">
        <v>0</v>
      </c>
      <c r="J252" s="6" t="s">
        <v>0</v>
      </c>
      <c r="L252" s="8">
        <v>25</v>
      </c>
      <c r="M252" s="8">
        <v>6522.4999999999991</v>
      </c>
      <c r="N252" s="8"/>
      <c r="O252" s="6" t="s">
        <v>0</v>
      </c>
      <c r="P252" s="6" t="s">
        <v>0</v>
      </c>
      <c r="R252" s="6" t="s">
        <v>0</v>
      </c>
      <c r="S252" s="6" t="s">
        <v>0</v>
      </c>
      <c r="U252" s="6" t="s">
        <v>0</v>
      </c>
      <c r="V252" s="6" t="s">
        <v>0</v>
      </c>
    </row>
    <row r="253" spans="1:22" x14ac:dyDescent="0.3">
      <c r="A253" s="11" t="s">
        <v>283</v>
      </c>
      <c r="B253" s="6" t="s">
        <v>286</v>
      </c>
      <c r="C253" s="7">
        <v>260.89999999999998</v>
      </c>
      <c r="D253" s="6" t="s">
        <v>47</v>
      </c>
      <c r="E253" s="8">
        <v>150</v>
      </c>
      <c r="F253" s="8">
        <v>39135</v>
      </c>
      <c r="H253" s="9">
        <f t="shared" si="3"/>
        <v>39135</v>
      </c>
      <c r="I253" s="6" t="s">
        <v>0</v>
      </c>
      <c r="J253" s="6" t="s">
        <v>0</v>
      </c>
      <c r="L253" s="8">
        <v>150</v>
      </c>
      <c r="M253" s="8">
        <v>39135</v>
      </c>
      <c r="N253" s="8"/>
      <c r="O253" s="6" t="s">
        <v>0</v>
      </c>
      <c r="P253" s="6" t="s">
        <v>0</v>
      </c>
      <c r="R253" s="6" t="s">
        <v>0</v>
      </c>
      <c r="S253" s="6" t="s">
        <v>0</v>
      </c>
      <c r="U253" s="6" t="s">
        <v>0</v>
      </c>
      <c r="V253" s="6" t="s">
        <v>0</v>
      </c>
    </row>
    <row r="254" spans="1:22" x14ac:dyDescent="0.3">
      <c r="A254" s="11" t="s">
        <v>283</v>
      </c>
      <c r="B254" s="6" t="s">
        <v>287</v>
      </c>
      <c r="C254" s="7">
        <v>33</v>
      </c>
      <c r="D254" s="6" t="s">
        <v>45</v>
      </c>
      <c r="E254" s="8">
        <v>800</v>
      </c>
      <c r="F254" s="8">
        <v>26400</v>
      </c>
      <c r="H254" s="9">
        <f t="shared" si="3"/>
        <v>26400</v>
      </c>
      <c r="I254" s="6" t="s">
        <v>0</v>
      </c>
      <c r="J254" s="6" t="s">
        <v>0</v>
      </c>
      <c r="L254" s="8">
        <v>800</v>
      </c>
      <c r="M254" s="8">
        <v>26400</v>
      </c>
      <c r="N254" s="8"/>
      <c r="O254" s="6" t="s">
        <v>0</v>
      </c>
      <c r="P254" s="6" t="s">
        <v>0</v>
      </c>
      <c r="R254" s="6" t="s">
        <v>0</v>
      </c>
      <c r="S254" s="6" t="s">
        <v>0</v>
      </c>
      <c r="U254" s="6" t="s">
        <v>0</v>
      </c>
      <c r="V254" s="6" t="s">
        <v>0</v>
      </c>
    </row>
    <row r="255" spans="1:22" x14ac:dyDescent="0.3">
      <c r="A255" s="11" t="s">
        <v>283</v>
      </c>
      <c r="B255" s="6" t="s">
        <v>288</v>
      </c>
      <c r="C255" s="7">
        <v>75.899999999999991</v>
      </c>
      <c r="D255" s="6" t="s">
        <v>47</v>
      </c>
      <c r="E255" s="8">
        <v>25</v>
      </c>
      <c r="F255" s="8">
        <v>1897.4999999999998</v>
      </c>
      <c r="H255" s="9">
        <f t="shared" si="3"/>
        <v>1897.4999999999998</v>
      </c>
      <c r="I255" s="6" t="s">
        <v>0</v>
      </c>
      <c r="J255" s="6" t="s">
        <v>0</v>
      </c>
      <c r="L255" s="8">
        <v>25</v>
      </c>
      <c r="M255" s="8">
        <v>1897.4999999999998</v>
      </c>
      <c r="N255" s="8"/>
      <c r="O255" s="6" t="s">
        <v>0</v>
      </c>
      <c r="P255" s="6" t="s">
        <v>0</v>
      </c>
      <c r="R255" s="6" t="s">
        <v>0</v>
      </c>
      <c r="S255" s="6" t="s">
        <v>0</v>
      </c>
      <c r="U255" s="6" t="s">
        <v>0</v>
      </c>
      <c r="V255" s="6" t="s">
        <v>0</v>
      </c>
    </row>
    <row r="256" spans="1:22" x14ac:dyDescent="0.3">
      <c r="A256" s="11" t="s">
        <v>283</v>
      </c>
      <c r="B256" s="6" t="s">
        <v>289</v>
      </c>
      <c r="C256" s="7">
        <v>21.5</v>
      </c>
      <c r="D256" s="6" t="s">
        <v>47</v>
      </c>
      <c r="E256" s="8">
        <v>25</v>
      </c>
      <c r="F256" s="8">
        <v>537.5</v>
      </c>
      <c r="H256" s="9">
        <f t="shared" si="3"/>
        <v>537.5</v>
      </c>
      <c r="I256" s="6" t="s">
        <v>0</v>
      </c>
      <c r="J256" s="6" t="s">
        <v>0</v>
      </c>
      <c r="L256" s="8">
        <v>25</v>
      </c>
      <c r="M256" s="8">
        <v>537.5</v>
      </c>
      <c r="N256" s="8"/>
      <c r="O256" s="6" t="s">
        <v>0</v>
      </c>
      <c r="P256" s="6" t="s">
        <v>0</v>
      </c>
      <c r="R256" s="6" t="s">
        <v>0</v>
      </c>
      <c r="S256" s="6" t="s">
        <v>0</v>
      </c>
      <c r="U256" s="6" t="s">
        <v>0</v>
      </c>
      <c r="V256" s="6" t="s">
        <v>0</v>
      </c>
    </row>
    <row r="257" spans="1:22" x14ac:dyDescent="0.3">
      <c r="A257" s="11" t="s">
        <v>283</v>
      </c>
      <c r="B257" s="6" t="s">
        <v>290</v>
      </c>
      <c r="C257" s="7">
        <v>5</v>
      </c>
      <c r="D257" s="6" t="s">
        <v>45</v>
      </c>
      <c r="E257" s="8">
        <v>600</v>
      </c>
      <c r="F257" s="8">
        <v>3000</v>
      </c>
      <c r="H257" s="9">
        <f t="shared" si="3"/>
        <v>3000</v>
      </c>
      <c r="I257" s="6" t="s">
        <v>0</v>
      </c>
      <c r="J257" s="6" t="s">
        <v>0</v>
      </c>
      <c r="L257" s="8">
        <v>600</v>
      </c>
      <c r="M257" s="8">
        <v>3000</v>
      </c>
      <c r="N257" s="8"/>
      <c r="O257" s="6" t="s">
        <v>0</v>
      </c>
      <c r="P257" s="6" t="s">
        <v>0</v>
      </c>
      <c r="R257" s="6" t="s">
        <v>0</v>
      </c>
      <c r="S257" s="6" t="s">
        <v>0</v>
      </c>
      <c r="U257" s="6" t="s">
        <v>0</v>
      </c>
      <c r="V257" s="6" t="s">
        <v>0</v>
      </c>
    </row>
    <row r="258" spans="1:22" x14ac:dyDescent="0.3">
      <c r="A258" s="11" t="s">
        <v>283</v>
      </c>
      <c r="B258" s="6" t="s">
        <v>291</v>
      </c>
      <c r="C258" s="7">
        <v>5</v>
      </c>
      <c r="D258" s="6" t="s">
        <v>45</v>
      </c>
      <c r="E258" s="8">
        <v>900</v>
      </c>
      <c r="F258" s="8">
        <v>4500</v>
      </c>
      <c r="H258" s="9">
        <f t="shared" si="3"/>
        <v>4500</v>
      </c>
      <c r="I258" s="6" t="s">
        <v>0</v>
      </c>
      <c r="J258" s="6" t="s">
        <v>0</v>
      </c>
      <c r="L258" s="8">
        <v>900</v>
      </c>
      <c r="M258" s="8">
        <v>4500</v>
      </c>
      <c r="N258" s="8"/>
      <c r="O258" s="6" t="s">
        <v>0</v>
      </c>
      <c r="P258" s="6" t="s">
        <v>0</v>
      </c>
      <c r="R258" s="6" t="s">
        <v>0</v>
      </c>
      <c r="S258" s="6" t="s">
        <v>0</v>
      </c>
      <c r="U258" s="6" t="s">
        <v>0</v>
      </c>
      <c r="V258" s="6" t="s">
        <v>0</v>
      </c>
    </row>
    <row r="259" spans="1:22" x14ac:dyDescent="0.3">
      <c r="A259" s="11" t="s">
        <v>283</v>
      </c>
      <c r="B259" s="6" t="s">
        <v>292</v>
      </c>
      <c r="C259" s="7">
        <v>10</v>
      </c>
      <c r="D259" s="6" t="s">
        <v>45</v>
      </c>
      <c r="E259" s="8">
        <v>91.399999999999991</v>
      </c>
      <c r="F259" s="8">
        <v>913.99999999999989</v>
      </c>
      <c r="G259" s="7"/>
      <c r="H259" s="9">
        <f t="shared" si="3"/>
        <v>913.99999999999989</v>
      </c>
      <c r="I259" s="8">
        <v>87.399999999999991</v>
      </c>
      <c r="J259" s="8">
        <v>873.99999999999989</v>
      </c>
      <c r="K259" s="8"/>
      <c r="L259" s="8">
        <v>4</v>
      </c>
      <c r="M259" s="8">
        <v>40</v>
      </c>
      <c r="N259" s="8"/>
      <c r="O259" s="6" t="s">
        <v>0</v>
      </c>
      <c r="P259" s="6" t="s">
        <v>0</v>
      </c>
      <c r="R259" s="6" t="s">
        <v>0</v>
      </c>
      <c r="S259" s="6" t="s">
        <v>0</v>
      </c>
      <c r="U259" s="6" t="s">
        <v>0</v>
      </c>
      <c r="V259" s="6" t="s">
        <v>0</v>
      </c>
    </row>
    <row r="260" spans="1:22" x14ac:dyDescent="0.3">
      <c r="A260" s="11" t="s">
        <v>283</v>
      </c>
      <c r="B260" s="6" t="s">
        <v>293</v>
      </c>
      <c r="C260" s="7">
        <v>33</v>
      </c>
      <c r="D260" s="6" t="s">
        <v>45</v>
      </c>
      <c r="E260" s="8">
        <v>59</v>
      </c>
      <c r="F260" s="8">
        <v>1947</v>
      </c>
      <c r="H260" s="9">
        <f t="shared" ref="H260:H323" si="4">IF(AND(K260="",N260="",Q260="", T260="", W260=""), F260,K260+ N260+Q260+T260+W260)</f>
        <v>1947</v>
      </c>
      <c r="I260" s="6" t="s">
        <v>0</v>
      </c>
      <c r="J260" s="6" t="s">
        <v>0</v>
      </c>
      <c r="L260" s="8">
        <v>4</v>
      </c>
      <c r="M260" s="8">
        <v>132</v>
      </c>
      <c r="N260" s="8"/>
      <c r="O260" s="8">
        <v>55</v>
      </c>
      <c r="P260" s="8">
        <v>1815</v>
      </c>
      <c r="Q260" s="8"/>
      <c r="R260" s="6" t="s">
        <v>0</v>
      </c>
      <c r="S260" s="6" t="s">
        <v>0</v>
      </c>
      <c r="U260" s="6" t="s">
        <v>0</v>
      </c>
      <c r="V260" s="6" t="s">
        <v>0</v>
      </c>
    </row>
    <row r="261" spans="1:22" x14ac:dyDescent="0.3">
      <c r="A261" s="11" t="s">
        <v>283</v>
      </c>
      <c r="B261" s="6" t="s">
        <v>294</v>
      </c>
      <c r="C261" s="7">
        <v>190</v>
      </c>
      <c r="D261" s="6" t="s">
        <v>45</v>
      </c>
      <c r="E261" s="8">
        <v>15</v>
      </c>
      <c r="F261" s="8">
        <v>2850</v>
      </c>
      <c r="H261" s="9">
        <f t="shared" si="4"/>
        <v>2850</v>
      </c>
      <c r="I261" s="6" t="s">
        <v>0</v>
      </c>
      <c r="J261" s="6" t="s">
        <v>0</v>
      </c>
      <c r="L261" s="6" t="s">
        <v>0</v>
      </c>
      <c r="M261" s="6" t="s">
        <v>0</v>
      </c>
      <c r="O261" s="8">
        <v>15</v>
      </c>
      <c r="P261" s="8">
        <v>2850</v>
      </c>
      <c r="Q261" s="8"/>
      <c r="R261" s="6" t="s">
        <v>0</v>
      </c>
      <c r="S261" s="6" t="s">
        <v>0</v>
      </c>
      <c r="U261" s="6" t="s">
        <v>0</v>
      </c>
      <c r="V261" s="6" t="s">
        <v>0</v>
      </c>
    </row>
    <row r="262" spans="1:22" x14ac:dyDescent="0.3">
      <c r="A262" s="11" t="s">
        <v>295</v>
      </c>
      <c r="B262" s="6" t="s">
        <v>296</v>
      </c>
      <c r="C262" s="7">
        <v>1</v>
      </c>
      <c r="D262" s="6" t="s">
        <v>45</v>
      </c>
      <c r="E262" s="8">
        <v>2000</v>
      </c>
      <c r="F262" s="8">
        <v>2000</v>
      </c>
      <c r="H262" s="9">
        <f t="shared" si="4"/>
        <v>2000</v>
      </c>
      <c r="I262" s="6" t="s">
        <v>0</v>
      </c>
      <c r="J262" s="6" t="s">
        <v>0</v>
      </c>
      <c r="L262" s="6" t="s">
        <v>0</v>
      </c>
      <c r="M262" s="6" t="s">
        <v>0</v>
      </c>
      <c r="O262" s="8">
        <v>2000</v>
      </c>
      <c r="P262" s="8">
        <v>2000</v>
      </c>
      <c r="Q262" s="8"/>
      <c r="R262" s="6" t="s">
        <v>0</v>
      </c>
      <c r="S262" s="6" t="s">
        <v>0</v>
      </c>
      <c r="U262" s="6" t="s">
        <v>0</v>
      </c>
      <c r="V262" s="6" t="s">
        <v>0</v>
      </c>
    </row>
    <row r="263" spans="1:22" x14ac:dyDescent="0.3">
      <c r="A263" s="11" t="s">
        <v>295</v>
      </c>
      <c r="B263" s="6" t="s">
        <v>297</v>
      </c>
      <c r="C263" s="7">
        <v>1</v>
      </c>
      <c r="D263" s="6" t="s">
        <v>45</v>
      </c>
      <c r="E263" s="8">
        <v>450</v>
      </c>
      <c r="F263" s="8">
        <v>450</v>
      </c>
      <c r="H263" s="9">
        <f t="shared" si="4"/>
        <v>450</v>
      </c>
      <c r="I263" s="6" t="s">
        <v>0</v>
      </c>
      <c r="J263" s="6" t="s">
        <v>0</v>
      </c>
      <c r="L263" s="6" t="s">
        <v>0</v>
      </c>
      <c r="M263" s="6" t="s">
        <v>0</v>
      </c>
      <c r="O263" s="8">
        <v>450</v>
      </c>
      <c r="P263" s="8">
        <v>450</v>
      </c>
      <c r="Q263" s="8"/>
      <c r="R263" s="6" t="s">
        <v>0</v>
      </c>
      <c r="S263" s="6" t="s">
        <v>0</v>
      </c>
      <c r="U263" s="6" t="s">
        <v>0</v>
      </c>
      <c r="V263" s="6" t="s">
        <v>0</v>
      </c>
    </row>
    <row r="264" spans="1:22" x14ac:dyDescent="0.3">
      <c r="A264" s="11" t="s">
        <v>298</v>
      </c>
      <c r="B264" s="6" t="s">
        <v>299</v>
      </c>
      <c r="C264" s="7">
        <v>43</v>
      </c>
      <c r="D264" s="6" t="s">
        <v>45</v>
      </c>
      <c r="E264" s="8">
        <v>85.800000000000011</v>
      </c>
      <c r="F264" s="8">
        <v>3689.4</v>
      </c>
      <c r="H264" s="9">
        <f t="shared" si="4"/>
        <v>3689.4</v>
      </c>
      <c r="I264" s="6" t="s">
        <v>0</v>
      </c>
      <c r="J264" s="6" t="s">
        <v>0</v>
      </c>
      <c r="L264" s="8">
        <v>2</v>
      </c>
      <c r="M264" s="8">
        <v>86</v>
      </c>
      <c r="N264" s="8"/>
      <c r="O264" s="8">
        <v>83.8</v>
      </c>
      <c r="P264" s="8">
        <v>3603.4</v>
      </c>
      <c r="Q264" s="8"/>
      <c r="R264" s="6" t="s">
        <v>0</v>
      </c>
      <c r="S264" s="6" t="s">
        <v>0</v>
      </c>
      <c r="U264" s="6" t="s">
        <v>0</v>
      </c>
      <c r="V264" s="6" t="s">
        <v>0</v>
      </c>
    </row>
    <row r="265" spans="1:22" x14ac:dyDescent="0.3">
      <c r="A265" s="11" t="s">
        <v>298</v>
      </c>
      <c r="B265" s="6" t="s">
        <v>300</v>
      </c>
      <c r="C265" s="7">
        <v>43</v>
      </c>
      <c r="D265" s="6" t="s">
        <v>45</v>
      </c>
      <c r="E265" s="8">
        <v>22</v>
      </c>
      <c r="F265" s="8">
        <v>946</v>
      </c>
      <c r="H265" s="9">
        <f t="shared" si="4"/>
        <v>946</v>
      </c>
      <c r="I265" s="6" t="s">
        <v>0</v>
      </c>
      <c r="J265" s="6" t="s">
        <v>0</v>
      </c>
      <c r="L265" s="8">
        <v>7</v>
      </c>
      <c r="M265" s="8">
        <v>301</v>
      </c>
      <c r="N265" s="8"/>
      <c r="O265" s="8">
        <v>15</v>
      </c>
      <c r="P265" s="8">
        <v>645</v>
      </c>
      <c r="Q265" s="8"/>
      <c r="R265" s="6" t="s">
        <v>0</v>
      </c>
      <c r="S265" s="6" t="s">
        <v>0</v>
      </c>
      <c r="U265" s="6" t="s">
        <v>0</v>
      </c>
      <c r="V265" s="6" t="s">
        <v>0</v>
      </c>
    </row>
    <row r="266" spans="1:22" x14ac:dyDescent="0.3">
      <c r="A266" s="11" t="s">
        <v>298</v>
      </c>
      <c r="B266" s="6" t="s">
        <v>301</v>
      </c>
      <c r="C266" s="7">
        <v>43</v>
      </c>
      <c r="D266" s="6" t="s">
        <v>45</v>
      </c>
      <c r="E266" s="8">
        <v>600</v>
      </c>
      <c r="F266" s="8">
        <v>25800</v>
      </c>
      <c r="H266" s="9">
        <f t="shared" si="4"/>
        <v>25800</v>
      </c>
      <c r="I266" s="6" t="s">
        <v>0</v>
      </c>
      <c r="J266" s="6" t="s">
        <v>0</v>
      </c>
      <c r="L266" s="8">
        <v>600</v>
      </c>
      <c r="M266" s="8">
        <v>25800</v>
      </c>
      <c r="N266" s="8"/>
      <c r="O266" s="6" t="s">
        <v>0</v>
      </c>
      <c r="P266" s="6" t="s">
        <v>0</v>
      </c>
      <c r="R266" s="6" t="s">
        <v>0</v>
      </c>
      <c r="S266" s="6" t="s">
        <v>0</v>
      </c>
      <c r="U266" s="6" t="s">
        <v>0</v>
      </c>
      <c r="V266" s="6" t="s">
        <v>0</v>
      </c>
    </row>
    <row r="267" spans="1:22" x14ac:dyDescent="0.3">
      <c r="A267" s="11" t="s">
        <v>298</v>
      </c>
      <c r="B267" s="6" t="s">
        <v>302</v>
      </c>
      <c r="C267" s="7">
        <v>61</v>
      </c>
      <c r="D267" s="6" t="s">
        <v>45</v>
      </c>
      <c r="E267" s="8">
        <v>46.04</v>
      </c>
      <c r="F267" s="8">
        <v>2808.44</v>
      </c>
      <c r="H267" s="9">
        <f t="shared" si="4"/>
        <v>2808.44</v>
      </c>
      <c r="I267" s="6" t="s">
        <v>0</v>
      </c>
      <c r="J267" s="6" t="s">
        <v>0</v>
      </c>
      <c r="L267" s="8">
        <v>2</v>
      </c>
      <c r="M267" s="8">
        <v>122</v>
      </c>
      <c r="N267" s="8"/>
      <c r="O267" s="8">
        <v>44.04</v>
      </c>
      <c r="P267" s="8">
        <v>2686.44</v>
      </c>
      <c r="Q267" s="8"/>
      <c r="R267" s="6" t="s">
        <v>0</v>
      </c>
      <c r="S267" s="6" t="s">
        <v>0</v>
      </c>
      <c r="U267" s="6" t="s">
        <v>0</v>
      </c>
      <c r="V267" s="6" t="s">
        <v>0</v>
      </c>
    </row>
    <row r="268" spans="1:22" x14ac:dyDescent="0.3">
      <c r="A268" s="11" t="s">
        <v>298</v>
      </c>
      <c r="B268" s="6" t="s">
        <v>303</v>
      </c>
      <c r="C268" s="7">
        <v>61</v>
      </c>
      <c r="D268" s="6" t="s">
        <v>45</v>
      </c>
      <c r="E268" s="8">
        <v>80</v>
      </c>
      <c r="F268" s="8">
        <v>4880</v>
      </c>
      <c r="H268" s="9">
        <f t="shared" si="4"/>
        <v>4880</v>
      </c>
      <c r="I268" s="6" t="s">
        <v>0</v>
      </c>
      <c r="J268" s="6" t="s">
        <v>0</v>
      </c>
      <c r="L268" s="8">
        <v>80</v>
      </c>
      <c r="M268" s="8">
        <v>4880</v>
      </c>
      <c r="N268" s="8"/>
      <c r="O268" s="6" t="s">
        <v>0</v>
      </c>
      <c r="P268" s="6" t="s">
        <v>0</v>
      </c>
      <c r="R268" s="6" t="s">
        <v>0</v>
      </c>
      <c r="S268" s="6" t="s">
        <v>0</v>
      </c>
      <c r="U268" s="6" t="s">
        <v>0</v>
      </c>
      <c r="V268" s="6" t="s">
        <v>0</v>
      </c>
    </row>
    <row r="269" spans="1:22" x14ac:dyDescent="0.3">
      <c r="A269" s="11" t="s">
        <v>298</v>
      </c>
      <c r="B269" s="6" t="s">
        <v>305</v>
      </c>
      <c r="C269" s="7">
        <v>50</v>
      </c>
      <c r="D269" s="6" t="s">
        <v>45</v>
      </c>
      <c r="E269" s="8">
        <v>46.04</v>
      </c>
      <c r="F269" s="8">
        <v>2302</v>
      </c>
      <c r="H269" s="9">
        <f t="shared" si="4"/>
        <v>2302</v>
      </c>
      <c r="I269" s="6" t="s">
        <v>0</v>
      </c>
      <c r="J269" s="6" t="s">
        <v>0</v>
      </c>
      <c r="L269" s="8">
        <v>2</v>
      </c>
      <c r="M269" s="8">
        <v>100</v>
      </c>
      <c r="N269" s="8"/>
      <c r="O269" s="8">
        <v>44.04</v>
      </c>
      <c r="P269" s="8">
        <v>2202</v>
      </c>
      <c r="Q269" s="8"/>
      <c r="R269" s="6" t="s">
        <v>0</v>
      </c>
      <c r="S269" s="6" t="s">
        <v>0</v>
      </c>
      <c r="U269" s="6" t="s">
        <v>0</v>
      </c>
      <c r="V269" s="6" t="s">
        <v>0</v>
      </c>
    </row>
    <row r="270" spans="1:22" x14ac:dyDescent="0.3">
      <c r="A270" s="11" t="s">
        <v>298</v>
      </c>
      <c r="B270" s="6" t="s">
        <v>306</v>
      </c>
      <c r="C270" s="7">
        <v>50</v>
      </c>
      <c r="D270" s="6" t="s">
        <v>45</v>
      </c>
      <c r="E270" s="8">
        <v>40</v>
      </c>
      <c r="F270" s="8">
        <v>2000</v>
      </c>
      <c r="H270" s="9">
        <f t="shared" si="4"/>
        <v>2000</v>
      </c>
      <c r="I270" s="6" t="s">
        <v>0</v>
      </c>
      <c r="J270" s="6" t="s">
        <v>0</v>
      </c>
      <c r="L270" s="8">
        <v>20</v>
      </c>
      <c r="M270" s="8">
        <v>1000</v>
      </c>
      <c r="N270" s="8"/>
      <c r="O270" s="8">
        <v>20</v>
      </c>
      <c r="P270" s="8">
        <v>1000</v>
      </c>
      <c r="Q270" s="8"/>
      <c r="R270" s="6" t="s">
        <v>0</v>
      </c>
      <c r="S270" s="6" t="s">
        <v>0</v>
      </c>
      <c r="U270" s="6" t="s">
        <v>0</v>
      </c>
      <c r="V270" s="6" t="s">
        <v>0</v>
      </c>
    </row>
    <row r="271" spans="1:22" x14ac:dyDescent="0.3">
      <c r="A271" s="11" t="s">
        <v>298</v>
      </c>
      <c r="B271" s="6" t="s">
        <v>304</v>
      </c>
      <c r="C271" s="7">
        <v>50</v>
      </c>
      <c r="D271" s="6" t="s">
        <v>45</v>
      </c>
      <c r="E271" s="8">
        <v>110</v>
      </c>
      <c r="F271" s="8">
        <v>5500</v>
      </c>
      <c r="H271" s="9">
        <f t="shared" si="4"/>
        <v>5500</v>
      </c>
      <c r="I271" s="6" t="s">
        <v>0</v>
      </c>
      <c r="J271" s="6" t="s">
        <v>0</v>
      </c>
      <c r="L271" s="8">
        <v>110</v>
      </c>
      <c r="M271" s="8">
        <v>5500</v>
      </c>
      <c r="N271" s="8"/>
      <c r="O271" s="6" t="s">
        <v>0</v>
      </c>
      <c r="P271" s="6" t="s">
        <v>0</v>
      </c>
      <c r="R271" s="6" t="s">
        <v>0</v>
      </c>
      <c r="S271" s="6" t="s">
        <v>0</v>
      </c>
      <c r="U271" s="6" t="s">
        <v>0</v>
      </c>
      <c r="V271" s="6" t="s">
        <v>0</v>
      </c>
    </row>
    <row r="272" spans="1:22" x14ac:dyDescent="0.3">
      <c r="A272" s="11" t="s">
        <v>298</v>
      </c>
      <c r="B272" s="6" t="s">
        <v>308</v>
      </c>
      <c r="C272" s="7">
        <v>17</v>
      </c>
      <c r="D272" s="6" t="s">
        <v>45</v>
      </c>
      <c r="E272" s="8">
        <v>69.039999999999992</v>
      </c>
      <c r="F272" s="8">
        <v>1173.68</v>
      </c>
      <c r="H272" s="9">
        <f t="shared" si="4"/>
        <v>1173.68</v>
      </c>
      <c r="I272" s="6" t="s">
        <v>0</v>
      </c>
      <c r="J272" s="6" t="s">
        <v>0</v>
      </c>
      <c r="L272" s="8">
        <v>2</v>
      </c>
      <c r="M272" s="8">
        <v>34</v>
      </c>
      <c r="N272" s="8"/>
      <c r="O272" s="8">
        <v>67.040000000000006</v>
      </c>
      <c r="P272" s="8">
        <v>1139.68</v>
      </c>
      <c r="Q272" s="8"/>
      <c r="R272" s="6" t="s">
        <v>0</v>
      </c>
      <c r="S272" s="6" t="s">
        <v>0</v>
      </c>
      <c r="U272" s="6" t="s">
        <v>0</v>
      </c>
      <c r="V272" s="6" t="s">
        <v>0</v>
      </c>
    </row>
    <row r="273" spans="1:22" x14ac:dyDescent="0.3">
      <c r="A273" s="11" t="s">
        <v>298</v>
      </c>
      <c r="B273" s="6" t="s">
        <v>307</v>
      </c>
      <c r="C273" s="7">
        <v>17</v>
      </c>
      <c r="D273" s="6" t="s">
        <v>45</v>
      </c>
      <c r="E273" s="8">
        <v>150</v>
      </c>
      <c r="F273" s="8">
        <v>2550</v>
      </c>
      <c r="H273" s="9">
        <f t="shared" si="4"/>
        <v>2550</v>
      </c>
      <c r="I273" s="6" t="s">
        <v>0</v>
      </c>
      <c r="J273" s="6" t="s">
        <v>0</v>
      </c>
      <c r="L273" s="8">
        <v>150</v>
      </c>
      <c r="M273" s="8">
        <v>2550</v>
      </c>
      <c r="N273" s="8"/>
      <c r="O273" s="6" t="s">
        <v>0</v>
      </c>
      <c r="P273" s="6" t="s">
        <v>0</v>
      </c>
      <c r="R273" s="6" t="s">
        <v>0</v>
      </c>
      <c r="S273" s="6" t="s">
        <v>0</v>
      </c>
      <c r="U273" s="6" t="s">
        <v>0</v>
      </c>
      <c r="V273" s="6" t="s">
        <v>0</v>
      </c>
    </row>
    <row r="274" spans="1:22" x14ac:dyDescent="0.3">
      <c r="A274" s="11" t="s">
        <v>298</v>
      </c>
      <c r="B274" s="6" t="s">
        <v>302</v>
      </c>
      <c r="C274" s="7">
        <v>5</v>
      </c>
      <c r="D274" s="6" t="s">
        <v>45</v>
      </c>
      <c r="E274" s="8">
        <v>47</v>
      </c>
      <c r="F274" s="8">
        <v>235</v>
      </c>
      <c r="H274" s="9">
        <f t="shared" si="4"/>
        <v>235</v>
      </c>
      <c r="I274" s="6" t="s">
        <v>0</v>
      </c>
      <c r="J274" s="6" t="s">
        <v>0</v>
      </c>
      <c r="L274" s="8">
        <v>2</v>
      </c>
      <c r="M274" s="8">
        <v>10</v>
      </c>
      <c r="N274" s="8"/>
      <c r="O274" s="8">
        <v>45</v>
      </c>
      <c r="P274" s="8">
        <v>225</v>
      </c>
      <c r="Q274" s="8"/>
      <c r="R274" s="6" t="s">
        <v>0</v>
      </c>
      <c r="S274" s="6" t="s">
        <v>0</v>
      </c>
      <c r="U274" s="6" t="s">
        <v>0</v>
      </c>
      <c r="V274" s="6" t="s">
        <v>0</v>
      </c>
    </row>
    <row r="275" spans="1:22" x14ac:dyDescent="0.3">
      <c r="A275" s="11" t="s">
        <v>298</v>
      </c>
      <c r="B275" s="6" t="s">
        <v>309</v>
      </c>
      <c r="C275" s="7">
        <v>5</v>
      </c>
      <c r="D275" s="6" t="s">
        <v>45</v>
      </c>
      <c r="E275" s="8">
        <v>180</v>
      </c>
      <c r="F275" s="8">
        <v>900</v>
      </c>
      <c r="H275" s="9">
        <f t="shared" si="4"/>
        <v>900</v>
      </c>
      <c r="I275" s="6" t="s">
        <v>0</v>
      </c>
      <c r="J275" s="6" t="s">
        <v>0</v>
      </c>
      <c r="L275" s="8">
        <v>180</v>
      </c>
      <c r="M275" s="8">
        <v>900</v>
      </c>
      <c r="N275" s="8"/>
      <c r="O275" s="6" t="s">
        <v>0</v>
      </c>
      <c r="P275" s="6" t="s">
        <v>0</v>
      </c>
      <c r="R275" s="6" t="s">
        <v>0</v>
      </c>
      <c r="S275" s="6" t="s">
        <v>0</v>
      </c>
      <c r="U275" s="6" t="s">
        <v>0</v>
      </c>
      <c r="V275" s="6" t="s">
        <v>0</v>
      </c>
    </row>
    <row r="276" spans="1:22" x14ac:dyDescent="0.3">
      <c r="A276" s="11" t="s">
        <v>298</v>
      </c>
      <c r="B276" s="6" t="s">
        <v>310</v>
      </c>
      <c r="C276" s="7">
        <v>176</v>
      </c>
      <c r="D276" s="6" t="s">
        <v>45</v>
      </c>
      <c r="E276" s="8">
        <v>15</v>
      </c>
      <c r="F276" s="8">
        <v>2640</v>
      </c>
      <c r="H276" s="9">
        <f t="shared" si="4"/>
        <v>2640</v>
      </c>
      <c r="I276" s="6" t="s">
        <v>0</v>
      </c>
      <c r="J276" s="6" t="s">
        <v>0</v>
      </c>
      <c r="L276" s="6" t="s">
        <v>0</v>
      </c>
      <c r="M276" s="6" t="s">
        <v>0</v>
      </c>
      <c r="O276" s="8">
        <v>15</v>
      </c>
      <c r="P276" s="8">
        <v>2640</v>
      </c>
      <c r="Q276" s="8"/>
      <c r="R276" s="6" t="s">
        <v>0</v>
      </c>
      <c r="S276" s="6" t="s">
        <v>0</v>
      </c>
      <c r="U276" s="6" t="s">
        <v>0</v>
      </c>
      <c r="V276" s="6" t="s">
        <v>0</v>
      </c>
    </row>
    <row r="277" spans="1:22" x14ac:dyDescent="0.3">
      <c r="A277" s="11" t="s">
        <v>311</v>
      </c>
      <c r="B277" s="6" t="s">
        <v>312</v>
      </c>
      <c r="C277" s="7">
        <v>11.316000000000001</v>
      </c>
      <c r="D277" s="6" t="s">
        <v>47</v>
      </c>
      <c r="E277" s="8">
        <v>500</v>
      </c>
      <c r="F277" s="8">
        <v>5658</v>
      </c>
      <c r="H277" s="9">
        <f t="shared" si="4"/>
        <v>5658</v>
      </c>
      <c r="I277" s="6" t="s">
        <v>0</v>
      </c>
      <c r="J277" s="6" t="s">
        <v>0</v>
      </c>
      <c r="L277" s="8">
        <v>499.99999999999994</v>
      </c>
      <c r="M277" s="8">
        <v>5658</v>
      </c>
      <c r="N277" s="8"/>
      <c r="O277" s="6" t="s">
        <v>0</v>
      </c>
      <c r="P277" s="6" t="s">
        <v>0</v>
      </c>
      <c r="R277" s="6" t="s">
        <v>0</v>
      </c>
      <c r="S277" s="6" t="s">
        <v>0</v>
      </c>
      <c r="U277" s="6" t="s">
        <v>0</v>
      </c>
      <c r="V277" s="6" t="s">
        <v>0</v>
      </c>
    </row>
    <row r="278" spans="1:22" x14ac:dyDescent="0.3">
      <c r="A278" s="11" t="s">
        <v>311</v>
      </c>
      <c r="B278" s="6" t="s">
        <v>313</v>
      </c>
      <c r="C278" s="7">
        <v>1</v>
      </c>
      <c r="D278" s="6" t="s">
        <v>45</v>
      </c>
      <c r="E278" s="8">
        <v>510</v>
      </c>
      <c r="F278" s="8">
        <v>510</v>
      </c>
      <c r="H278" s="9">
        <f t="shared" si="4"/>
        <v>510</v>
      </c>
      <c r="I278" s="6" t="s">
        <v>0</v>
      </c>
      <c r="J278" s="6" t="s">
        <v>0</v>
      </c>
      <c r="L278" s="6" t="s">
        <v>0</v>
      </c>
      <c r="M278" s="6" t="s">
        <v>0</v>
      </c>
      <c r="O278" s="8">
        <v>510</v>
      </c>
      <c r="P278" s="8">
        <v>510</v>
      </c>
      <c r="Q278" s="8"/>
      <c r="R278" s="6" t="s">
        <v>0</v>
      </c>
      <c r="S278" s="6" t="s">
        <v>0</v>
      </c>
      <c r="U278" s="6" t="s">
        <v>0</v>
      </c>
      <c r="V278" s="6" t="s">
        <v>0</v>
      </c>
    </row>
    <row r="279" spans="1:22" x14ac:dyDescent="0.3">
      <c r="A279" s="11" t="s">
        <v>311</v>
      </c>
      <c r="B279" s="6" t="s">
        <v>314</v>
      </c>
      <c r="C279" s="7">
        <v>29.24</v>
      </c>
      <c r="D279" s="6" t="s">
        <v>65</v>
      </c>
      <c r="E279" s="8">
        <v>6.8999999999999995</v>
      </c>
      <c r="F279" s="8">
        <v>201.75599999999997</v>
      </c>
      <c r="H279" s="9">
        <f t="shared" si="4"/>
        <v>201.75599999999997</v>
      </c>
      <c r="I279" s="6" t="s">
        <v>0</v>
      </c>
      <c r="J279" s="6" t="s">
        <v>0</v>
      </c>
      <c r="L279" s="6" t="s">
        <v>0</v>
      </c>
      <c r="M279" s="6" t="s">
        <v>0</v>
      </c>
      <c r="O279" s="8">
        <v>6.8999999999999995</v>
      </c>
      <c r="P279" s="8">
        <v>201.75599999999997</v>
      </c>
      <c r="Q279" s="8"/>
      <c r="R279" s="6" t="s">
        <v>0</v>
      </c>
      <c r="S279" s="6" t="s">
        <v>0</v>
      </c>
      <c r="U279" s="6" t="s">
        <v>0</v>
      </c>
      <c r="V279" s="6" t="s">
        <v>0</v>
      </c>
    </row>
    <row r="280" spans="1:22" x14ac:dyDescent="0.3">
      <c r="A280" s="11" t="s">
        <v>311</v>
      </c>
      <c r="B280" s="6" t="s">
        <v>315</v>
      </c>
      <c r="C280" s="7">
        <v>23.6</v>
      </c>
      <c r="D280" s="6" t="s">
        <v>65</v>
      </c>
      <c r="E280" s="8">
        <v>6.8999999999999995</v>
      </c>
      <c r="F280" s="8">
        <v>162.84</v>
      </c>
      <c r="H280" s="9">
        <f t="shared" si="4"/>
        <v>162.84</v>
      </c>
      <c r="I280" s="6" t="s">
        <v>0</v>
      </c>
      <c r="J280" s="6" t="s">
        <v>0</v>
      </c>
      <c r="L280" s="6" t="s">
        <v>0</v>
      </c>
      <c r="M280" s="6" t="s">
        <v>0</v>
      </c>
      <c r="O280" s="8">
        <v>6.8999999999999995</v>
      </c>
      <c r="P280" s="8">
        <v>162.84</v>
      </c>
      <c r="Q280" s="8"/>
      <c r="R280" s="6" t="s">
        <v>0</v>
      </c>
      <c r="S280" s="6" t="s">
        <v>0</v>
      </c>
      <c r="U280" s="6" t="s">
        <v>0</v>
      </c>
      <c r="V280" s="6" t="s">
        <v>0</v>
      </c>
    </row>
    <row r="281" spans="1:22" x14ac:dyDescent="0.3">
      <c r="A281" s="11" t="s">
        <v>311</v>
      </c>
      <c r="B281" s="6" t="s">
        <v>316</v>
      </c>
      <c r="C281" s="7">
        <v>1</v>
      </c>
      <c r="D281" s="6" t="s">
        <v>45</v>
      </c>
      <c r="E281" s="8">
        <v>194.8</v>
      </c>
      <c r="F281" s="8">
        <v>194.8</v>
      </c>
      <c r="H281" s="9">
        <f t="shared" si="4"/>
        <v>194.8</v>
      </c>
      <c r="I281" s="6" t="s">
        <v>0</v>
      </c>
      <c r="J281" s="6" t="s">
        <v>0</v>
      </c>
      <c r="L281" s="6" t="s">
        <v>0</v>
      </c>
      <c r="M281" s="6" t="s">
        <v>0</v>
      </c>
      <c r="O281" s="8">
        <v>194.8</v>
      </c>
      <c r="P281" s="8">
        <v>194.8</v>
      </c>
      <c r="Q281" s="8"/>
      <c r="R281" s="6" t="s">
        <v>0</v>
      </c>
      <c r="S281" s="6" t="s">
        <v>0</v>
      </c>
      <c r="U281" s="6" t="s">
        <v>0</v>
      </c>
      <c r="V281" s="6" t="s">
        <v>0</v>
      </c>
    </row>
    <row r="282" spans="1:22" x14ac:dyDescent="0.3">
      <c r="A282" s="11" t="s">
        <v>311</v>
      </c>
      <c r="B282" s="6" t="s">
        <v>317</v>
      </c>
      <c r="C282" s="7">
        <v>1</v>
      </c>
      <c r="D282" s="6" t="s">
        <v>45</v>
      </c>
      <c r="E282" s="8">
        <v>2000</v>
      </c>
      <c r="F282" s="8">
        <v>2000</v>
      </c>
      <c r="H282" s="9">
        <f t="shared" si="4"/>
        <v>2000</v>
      </c>
      <c r="I282" s="6" t="s">
        <v>0</v>
      </c>
      <c r="J282" s="6" t="s">
        <v>0</v>
      </c>
      <c r="L282" s="8">
        <v>2000</v>
      </c>
      <c r="M282" s="8">
        <v>2000</v>
      </c>
      <c r="N282" s="8"/>
      <c r="O282" s="6" t="s">
        <v>0</v>
      </c>
      <c r="P282" s="6" t="s">
        <v>0</v>
      </c>
      <c r="R282" s="6" t="s">
        <v>0</v>
      </c>
      <c r="S282" s="6" t="s">
        <v>0</v>
      </c>
      <c r="U282" s="6" t="s">
        <v>0</v>
      </c>
      <c r="V282" s="6" t="s">
        <v>0</v>
      </c>
    </row>
    <row r="283" spans="1:22" x14ac:dyDescent="0.3">
      <c r="A283" s="11" t="s">
        <v>311</v>
      </c>
      <c r="B283" s="6" t="s">
        <v>318</v>
      </c>
      <c r="C283" s="7">
        <v>2</v>
      </c>
      <c r="D283" s="6" t="s">
        <v>45</v>
      </c>
      <c r="E283" s="8">
        <v>1250</v>
      </c>
      <c r="F283" s="8">
        <v>2500</v>
      </c>
      <c r="H283" s="9">
        <f t="shared" si="4"/>
        <v>2500</v>
      </c>
      <c r="I283" s="6" t="s">
        <v>0</v>
      </c>
      <c r="J283" s="6" t="s">
        <v>0</v>
      </c>
      <c r="L283" s="6" t="s">
        <v>0</v>
      </c>
      <c r="M283" s="6" t="s">
        <v>0</v>
      </c>
      <c r="O283" s="8">
        <v>1250</v>
      </c>
      <c r="P283" s="8">
        <v>2500</v>
      </c>
      <c r="Q283" s="8"/>
      <c r="R283" s="6" t="s">
        <v>0</v>
      </c>
      <c r="S283" s="6" t="s">
        <v>0</v>
      </c>
      <c r="U283" s="6" t="s">
        <v>0</v>
      </c>
      <c r="V283" s="6" t="s">
        <v>0</v>
      </c>
    </row>
    <row r="284" spans="1:22" x14ac:dyDescent="0.3">
      <c r="A284" s="11" t="s">
        <v>311</v>
      </c>
      <c r="B284" s="6" t="s">
        <v>316</v>
      </c>
      <c r="C284" s="7">
        <v>2</v>
      </c>
      <c r="D284" s="6" t="s">
        <v>45</v>
      </c>
      <c r="E284" s="8">
        <v>186.8</v>
      </c>
      <c r="F284" s="8">
        <v>373.6</v>
      </c>
      <c r="H284" s="9">
        <f t="shared" si="4"/>
        <v>373.6</v>
      </c>
      <c r="I284" s="6" t="s">
        <v>0</v>
      </c>
      <c r="J284" s="6" t="s">
        <v>0</v>
      </c>
      <c r="L284" s="6" t="s">
        <v>0</v>
      </c>
      <c r="M284" s="6" t="s">
        <v>0</v>
      </c>
      <c r="O284" s="8">
        <v>186.8</v>
      </c>
      <c r="P284" s="8">
        <v>373.6</v>
      </c>
      <c r="Q284" s="8"/>
      <c r="R284" s="6" t="s">
        <v>0</v>
      </c>
      <c r="S284" s="6" t="s">
        <v>0</v>
      </c>
      <c r="U284" s="6" t="s">
        <v>0</v>
      </c>
      <c r="V284" s="6" t="s">
        <v>0</v>
      </c>
    </row>
    <row r="285" spans="1:22" x14ac:dyDescent="0.3">
      <c r="A285" s="11" t="s">
        <v>311</v>
      </c>
      <c r="B285" s="6" t="s">
        <v>319</v>
      </c>
      <c r="C285" s="7">
        <v>3</v>
      </c>
      <c r="D285" s="6" t="s">
        <v>45</v>
      </c>
      <c r="E285" s="8">
        <v>1000</v>
      </c>
      <c r="F285" s="8">
        <v>3000</v>
      </c>
      <c r="H285" s="9">
        <f t="shared" si="4"/>
        <v>3000</v>
      </c>
      <c r="I285" s="6" t="s">
        <v>0</v>
      </c>
      <c r="J285" s="6" t="s">
        <v>0</v>
      </c>
      <c r="L285" s="6" t="s">
        <v>0</v>
      </c>
      <c r="M285" s="6" t="s">
        <v>0</v>
      </c>
      <c r="O285" s="8">
        <v>1000</v>
      </c>
      <c r="P285" s="8">
        <v>3000</v>
      </c>
      <c r="Q285" s="8"/>
      <c r="R285" s="6" t="s">
        <v>0</v>
      </c>
      <c r="S285" s="6" t="s">
        <v>0</v>
      </c>
      <c r="U285" s="6" t="s">
        <v>0</v>
      </c>
      <c r="V285" s="6" t="s">
        <v>0</v>
      </c>
    </row>
    <row r="286" spans="1:22" x14ac:dyDescent="0.3">
      <c r="A286" s="11" t="s">
        <v>311</v>
      </c>
      <c r="B286" s="6" t="s">
        <v>320</v>
      </c>
      <c r="C286" s="7">
        <v>3</v>
      </c>
      <c r="D286" s="6" t="s">
        <v>45</v>
      </c>
      <c r="E286" s="8">
        <v>186.8</v>
      </c>
      <c r="F286" s="8">
        <v>560.4</v>
      </c>
      <c r="H286" s="9">
        <f t="shared" si="4"/>
        <v>560.4</v>
      </c>
      <c r="I286" s="6" t="s">
        <v>0</v>
      </c>
      <c r="J286" s="6" t="s">
        <v>0</v>
      </c>
      <c r="L286" s="6" t="s">
        <v>0</v>
      </c>
      <c r="M286" s="6" t="s">
        <v>0</v>
      </c>
      <c r="O286" s="8">
        <v>186.79999999999998</v>
      </c>
      <c r="P286" s="8">
        <v>560.4</v>
      </c>
      <c r="Q286" s="8"/>
      <c r="R286" s="6" t="s">
        <v>0</v>
      </c>
      <c r="S286" s="6" t="s">
        <v>0</v>
      </c>
      <c r="U286" s="6" t="s">
        <v>0</v>
      </c>
      <c r="V286" s="6" t="s">
        <v>0</v>
      </c>
    </row>
    <row r="287" spans="1:22" x14ac:dyDescent="0.3">
      <c r="A287" s="11" t="s">
        <v>311</v>
      </c>
      <c r="B287" s="6" t="s">
        <v>321</v>
      </c>
      <c r="C287" s="7">
        <v>136.7584384954506</v>
      </c>
      <c r="D287" s="6" t="s">
        <v>65</v>
      </c>
      <c r="E287" s="8">
        <v>9.0599999999999987</v>
      </c>
      <c r="F287" s="8">
        <v>1239.0314527687824</v>
      </c>
      <c r="H287" s="9">
        <f t="shared" si="4"/>
        <v>1239.0314527687824</v>
      </c>
      <c r="I287" s="6" t="s">
        <v>0</v>
      </c>
      <c r="J287" s="6" t="s">
        <v>0</v>
      </c>
      <c r="L287" s="6" t="s">
        <v>0</v>
      </c>
      <c r="M287" s="6" t="s">
        <v>0</v>
      </c>
      <c r="O287" s="8">
        <v>9.0599999999999987</v>
      </c>
      <c r="P287" s="8">
        <v>1239.0314527687824</v>
      </c>
      <c r="Q287" s="8"/>
      <c r="R287" s="6" t="s">
        <v>0</v>
      </c>
      <c r="S287" s="6" t="s">
        <v>0</v>
      </c>
      <c r="U287" s="6" t="s">
        <v>0</v>
      </c>
      <c r="V287" s="6" t="s">
        <v>0</v>
      </c>
    </row>
    <row r="288" spans="1:22" x14ac:dyDescent="0.3">
      <c r="A288" s="11" t="s">
        <v>311</v>
      </c>
      <c r="B288" s="6" t="s">
        <v>322</v>
      </c>
      <c r="C288" s="7">
        <v>5</v>
      </c>
      <c r="D288" s="6" t="s">
        <v>45</v>
      </c>
      <c r="E288" s="8">
        <v>500</v>
      </c>
      <c r="F288" s="8">
        <v>2500</v>
      </c>
      <c r="H288" s="9">
        <f t="shared" si="4"/>
        <v>2500</v>
      </c>
      <c r="I288" s="6" t="s">
        <v>0</v>
      </c>
      <c r="J288" s="6" t="s">
        <v>0</v>
      </c>
      <c r="L288" s="8">
        <v>500</v>
      </c>
      <c r="M288" s="8">
        <v>2500</v>
      </c>
      <c r="N288" s="8"/>
      <c r="O288" s="6" t="s">
        <v>0</v>
      </c>
      <c r="P288" s="6" t="s">
        <v>0</v>
      </c>
      <c r="R288" s="6" t="s">
        <v>0</v>
      </c>
      <c r="S288" s="6" t="s">
        <v>0</v>
      </c>
      <c r="U288" s="6" t="s">
        <v>0</v>
      </c>
      <c r="V288" s="6" t="s">
        <v>0</v>
      </c>
    </row>
    <row r="289" spans="1:22" x14ac:dyDescent="0.3">
      <c r="A289" s="11" t="s">
        <v>311</v>
      </c>
      <c r="B289" s="6" t="s">
        <v>323</v>
      </c>
      <c r="C289" s="7">
        <v>2</v>
      </c>
      <c r="D289" s="6" t="s">
        <v>45</v>
      </c>
      <c r="E289" s="8">
        <v>510</v>
      </c>
      <c r="F289" s="8">
        <v>1020</v>
      </c>
      <c r="H289" s="9">
        <f t="shared" si="4"/>
        <v>1020</v>
      </c>
      <c r="I289" s="6" t="s">
        <v>0</v>
      </c>
      <c r="J289" s="6" t="s">
        <v>0</v>
      </c>
      <c r="L289" s="8">
        <v>510</v>
      </c>
      <c r="M289" s="8">
        <v>1020</v>
      </c>
      <c r="N289" s="8"/>
      <c r="O289" s="6" t="s">
        <v>0</v>
      </c>
      <c r="P289" s="6" t="s">
        <v>0</v>
      </c>
      <c r="R289" s="6" t="s">
        <v>0</v>
      </c>
      <c r="S289" s="6" t="s">
        <v>0</v>
      </c>
      <c r="U289" s="6" t="s">
        <v>0</v>
      </c>
      <c r="V289" s="6" t="s">
        <v>0</v>
      </c>
    </row>
    <row r="290" spans="1:22" x14ac:dyDescent="0.3">
      <c r="A290" s="11" t="s">
        <v>311</v>
      </c>
      <c r="B290" s="6" t="s">
        <v>324</v>
      </c>
      <c r="C290" s="7">
        <v>3</v>
      </c>
      <c r="D290" s="6" t="s">
        <v>45</v>
      </c>
      <c r="E290" s="8">
        <v>1200</v>
      </c>
      <c r="F290" s="8">
        <v>3600</v>
      </c>
      <c r="H290" s="9">
        <f t="shared" si="4"/>
        <v>3600</v>
      </c>
      <c r="I290" s="6" t="s">
        <v>0</v>
      </c>
      <c r="J290" s="6" t="s">
        <v>0</v>
      </c>
      <c r="L290" s="8">
        <v>1200</v>
      </c>
      <c r="M290" s="8">
        <v>3600</v>
      </c>
      <c r="N290" s="8"/>
      <c r="O290" s="6" t="s">
        <v>0</v>
      </c>
      <c r="P290" s="6" t="s">
        <v>0</v>
      </c>
      <c r="R290" s="6" t="s">
        <v>0</v>
      </c>
      <c r="S290" s="6" t="s">
        <v>0</v>
      </c>
      <c r="U290" s="6" t="s">
        <v>0</v>
      </c>
      <c r="V290" s="6" t="s">
        <v>0</v>
      </c>
    </row>
    <row r="291" spans="1:22" x14ac:dyDescent="0.3">
      <c r="A291" s="11" t="s">
        <v>311</v>
      </c>
      <c r="B291" s="6" t="s">
        <v>325</v>
      </c>
      <c r="C291" s="7">
        <v>10</v>
      </c>
      <c r="D291" s="6" t="s">
        <v>45</v>
      </c>
      <c r="E291" s="8">
        <v>150</v>
      </c>
      <c r="F291" s="8">
        <v>1500</v>
      </c>
      <c r="H291" s="9">
        <f t="shared" si="4"/>
        <v>1500</v>
      </c>
      <c r="I291" s="6" t="s">
        <v>0</v>
      </c>
      <c r="J291" s="6" t="s">
        <v>0</v>
      </c>
      <c r="L291" s="6" t="s">
        <v>0</v>
      </c>
      <c r="M291" s="6" t="s">
        <v>0</v>
      </c>
      <c r="O291" s="8">
        <v>150</v>
      </c>
      <c r="P291" s="8">
        <v>1500</v>
      </c>
      <c r="Q291" s="8"/>
      <c r="R291" s="6" t="s">
        <v>0</v>
      </c>
      <c r="S291" s="6" t="s">
        <v>0</v>
      </c>
      <c r="U291" s="6" t="s">
        <v>0</v>
      </c>
      <c r="V291" s="6" t="s">
        <v>0</v>
      </c>
    </row>
    <row r="292" spans="1:22" x14ac:dyDescent="0.3">
      <c r="A292" s="11" t="s">
        <v>311</v>
      </c>
      <c r="B292" s="6" t="s">
        <v>326</v>
      </c>
      <c r="C292" s="7">
        <v>104</v>
      </c>
      <c r="D292" s="6" t="s">
        <v>65</v>
      </c>
      <c r="E292" s="8">
        <v>6.8999999999999995</v>
      </c>
      <c r="F292" s="8">
        <v>717.59999999999991</v>
      </c>
      <c r="H292" s="9">
        <f t="shared" si="4"/>
        <v>717.59999999999991</v>
      </c>
      <c r="I292" s="6" t="s">
        <v>0</v>
      </c>
      <c r="J292" s="6" t="s">
        <v>0</v>
      </c>
      <c r="L292" s="6" t="s">
        <v>0</v>
      </c>
      <c r="M292" s="6" t="s">
        <v>0</v>
      </c>
      <c r="O292" s="8">
        <v>6.8999999999999995</v>
      </c>
      <c r="P292" s="8">
        <v>717.59999999999991</v>
      </c>
      <c r="Q292" s="8"/>
      <c r="R292" s="6" t="s">
        <v>0</v>
      </c>
      <c r="S292" s="6" t="s">
        <v>0</v>
      </c>
      <c r="U292" s="6" t="s">
        <v>0</v>
      </c>
      <c r="V292" s="6" t="s">
        <v>0</v>
      </c>
    </row>
    <row r="293" spans="1:22" x14ac:dyDescent="0.3">
      <c r="A293" s="11" t="s">
        <v>311</v>
      </c>
      <c r="B293" s="6" t="s">
        <v>327</v>
      </c>
      <c r="C293" s="7">
        <v>62</v>
      </c>
      <c r="D293" s="6" t="s">
        <v>65</v>
      </c>
      <c r="E293" s="8">
        <v>8</v>
      </c>
      <c r="F293" s="8">
        <v>496</v>
      </c>
      <c r="H293" s="9">
        <f t="shared" si="4"/>
        <v>496</v>
      </c>
      <c r="I293" s="6" t="s">
        <v>0</v>
      </c>
      <c r="J293" s="6" t="s">
        <v>0</v>
      </c>
      <c r="L293" s="6" t="s">
        <v>0</v>
      </c>
      <c r="M293" s="6" t="s">
        <v>0</v>
      </c>
      <c r="O293" s="8">
        <v>8</v>
      </c>
      <c r="P293" s="8">
        <v>496</v>
      </c>
      <c r="Q293" s="8"/>
      <c r="R293" s="6" t="s">
        <v>0</v>
      </c>
      <c r="S293" s="6" t="s">
        <v>0</v>
      </c>
      <c r="U293" s="6" t="s">
        <v>0</v>
      </c>
      <c r="V293" s="6" t="s">
        <v>0</v>
      </c>
    </row>
    <row r="294" spans="1:22" x14ac:dyDescent="0.3">
      <c r="A294" s="11" t="s">
        <v>311</v>
      </c>
      <c r="B294" s="6" t="s">
        <v>328</v>
      </c>
      <c r="C294" s="7">
        <v>8</v>
      </c>
      <c r="D294" s="6" t="s">
        <v>65</v>
      </c>
      <c r="E294" s="8">
        <v>39.9</v>
      </c>
      <c r="F294" s="8">
        <v>319.2</v>
      </c>
      <c r="H294" s="9">
        <f t="shared" si="4"/>
        <v>319.2</v>
      </c>
      <c r="I294" s="6" t="s">
        <v>0</v>
      </c>
      <c r="J294" s="6" t="s">
        <v>0</v>
      </c>
      <c r="L294" s="6" t="s">
        <v>0</v>
      </c>
      <c r="M294" s="6" t="s">
        <v>0</v>
      </c>
      <c r="O294" s="8">
        <v>39.9</v>
      </c>
      <c r="P294" s="8">
        <v>319.2</v>
      </c>
      <c r="Q294" s="8"/>
      <c r="R294" s="6" t="s">
        <v>0</v>
      </c>
      <c r="S294" s="6" t="s">
        <v>0</v>
      </c>
      <c r="U294" s="6" t="s">
        <v>0</v>
      </c>
      <c r="V294" s="6" t="s">
        <v>0</v>
      </c>
    </row>
    <row r="295" spans="1:22" x14ac:dyDescent="0.3">
      <c r="A295" s="11" t="s">
        <v>329</v>
      </c>
      <c r="B295" s="6" t="s">
        <v>330</v>
      </c>
      <c r="C295" s="7">
        <v>43</v>
      </c>
      <c r="D295" s="6" t="s">
        <v>331</v>
      </c>
      <c r="E295" s="8">
        <v>790.69767441860461</v>
      </c>
      <c r="F295" s="8">
        <v>34000</v>
      </c>
      <c r="H295" s="9">
        <f t="shared" si="4"/>
        <v>34000</v>
      </c>
      <c r="I295" s="6" t="s">
        <v>0</v>
      </c>
      <c r="J295" s="6" t="s">
        <v>0</v>
      </c>
      <c r="L295" s="6" t="s">
        <v>0</v>
      </c>
      <c r="M295" s="6" t="s">
        <v>0</v>
      </c>
      <c r="O295" s="8">
        <v>790.69767441860461</v>
      </c>
      <c r="P295" s="8">
        <v>34000</v>
      </c>
      <c r="Q295" s="8"/>
      <c r="R295" s="6" t="s">
        <v>0</v>
      </c>
      <c r="S295" s="6" t="s">
        <v>0</v>
      </c>
      <c r="U295" s="6" t="s">
        <v>0</v>
      </c>
      <c r="V295" s="6" t="s">
        <v>0</v>
      </c>
    </row>
    <row r="296" spans="1:22" x14ac:dyDescent="0.3">
      <c r="A296" s="11" t="s">
        <v>332</v>
      </c>
      <c r="B296" s="6" t="s">
        <v>333</v>
      </c>
      <c r="C296" s="7">
        <v>644.7997432824834</v>
      </c>
      <c r="D296" s="6" t="s">
        <v>47</v>
      </c>
      <c r="E296" s="8">
        <v>29.658775000000002</v>
      </c>
      <c r="F296" s="8">
        <v>19123.970506072939</v>
      </c>
      <c r="H296" s="9">
        <f t="shared" si="4"/>
        <v>19123.970506072939</v>
      </c>
      <c r="I296" s="6" t="s">
        <v>0</v>
      </c>
      <c r="J296" s="6" t="s">
        <v>0</v>
      </c>
      <c r="L296" s="8">
        <v>9.6587750000000003</v>
      </c>
      <c r="M296" s="8">
        <v>6227.9756404232685</v>
      </c>
      <c r="N296" s="8"/>
      <c r="O296" s="8">
        <v>20</v>
      </c>
      <c r="P296" s="8">
        <v>12895.994865649667</v>
      </c>
      <c r="Q296" s="8"/>
      <c r="R296" s="6" t="s">
        <v>0</v>
      </c>
      <c r="S296" s="6" t="s">
        <v>0</v>
      </c>
      <c r="U296" s="6" t="s">
        <v>0</v>
      </c>
      <c r="V296" s="6" t="s">
        <v>0</v>
      </c>
    </row>
    <row r="297" spans="1:22" x14ac:dyDescent="0.3">
      <c r="A297" s="11" t="s">
        <v>332</v>
      </c>
      <c r="B297" s="6" t="s">
        <v>334</v>
      </c>
      <c r="C297" s="7">
        <v>535.85842782520888</v>
      </c>
      <c r="D297" s="6" t="s">
        <v>47</v>
      </c>
      <c r="E297" s="8">
        <v>3.4064005588343512E-3</v>
      </c>
      <c r="F297" s="8">
        <v>1.8253484479998883</v>
      </c>
      <c r="H297" s="9">
        <f t="shared" si="4"/>
        <v>1.8253484479998883</v>
      </c>
      <c r="I297" s="6" t="s">
        <v>0</v>
      </c>
      <c r="J297" s="6" t="s">
        <v>0</v>
      </c>
      <c r="L297" s="6" t="s">
        <v>0</v>
      </c>
      <c r="M297" s="6" t="s">
        <v>0</v>
      </c>
      <c r="O297" s="6" t="s">
        <v>0</v>
      </c>
      <c r="P297" s="6" t="s">
        <v>0</v>
      </c>
      <c r="R297" s="6" t="s">
        <v>0</v>
      </c>
      <c r="S297" s="6" t="s">
        <v>0</v>
      </c>
      <c r="U297" s="8">
        <v>3.4064005588343512E-3</v>
      </c>
      <c r="V297" s="8">
        <v>1.8253484479998883</v>
      </c>
    </row>
    <row r="298" spans="1:22" x14ac:dyDescent="0.3">
      <c r="A298" s="11" t="s">
        <v>332</v>
      </c>
      <c r="B298" s="6" t="s">
        <v>335</v>
      </c>
      <c r="C298" s="7">
        <v>535.85842782520888</v>
      </c>
      <c r="D298" s="6" t="s">
        <v>47</v>
      </c>
      <c r="E298" s="8">
        <v>32.149650000000001</v>
      </c>
      <c r="F298" s="8">
        <v>17227.660904130727</v>
      </c>
      <c r="H298" s="9">
        <f t="shared" si="4"/>
        <v>17227.660904130727</v>
      </c>
      <c r="I298" s="6" t="s">
        <v>0</v>
      </c>
      <c r="J298" s="6" t="s">
        <v>0</v>
      </c>
      <c r="L298" s="8">
        <v>12.149650000000001</v>
      </c>
      <c r="M298" s="8">
        <v>6510.4923476265494</v>
      </c>
      <c r="N298" s="8"/>
      <c r="O298" s="8">
        <v>20</v>
      </c>
      <c r="P298" s="8">
        <v>10717.168556504177</v>
      </c>
      <c r="Q298" s="8"/>
      <c r="R298" s="6" t="s">
        <v>0</v>
      </c>
      <c r="S298" s="6" t="s">
        <v>0</v>
      </c>
      <c r="U298" s="6" t="s">
        <v>0</v>
      </c>
      <c r="V298" s="6" t="s">
        <v>0</v>
      </c>
    </row>
    <row r="299" spans="1:22" x14ac:dyDescent="0.3">
      <c r="A299" s="11" t="s">
        <v>332</v>
      </c>
      <c r="B299" s="6" t="s">
        <v>336</v>
      </c>
      <c r="C299" s="7">
        <v>224.69732721158641</v>
      </c>
      <c r="D299" s="6" t="s">
        <v>47</v>
      </c>
      <c r="E299" s="8">
        <v>1.200338466847929E-2</v>
      </c>
      <c r="F299" s="8">
        <v>2.6971284524998307</v>
      </c>
      <c r="H299" s="9">
        <f t="shared" si="4"/>
        <v>2.6971284524998307</v>
      </c>
      <c r="I299" s="6" t="s">
        <v>0</v>
      </c>
      <c r="J299" s="6" t="s">
        <v>0</v>
      </c>
      <c r="L299" s="6" t="s">
        <v>0</v>
      </c>
      <c r="M299" s="6" t="s">
        <v>0</v>
      </c>
      <c r="O299" s="6" t="s">
        <v>0</v>
      </c>
      <c r="P299" s="6" t="s">
        <v>0</v>
      </c>
      <c r="R299" s="6" t="s">
        <v>0</v>
      </c>
      <c r="S299" s="6" t="s">
        <v>0</v>
      </c>
      <c r="U299" s="8">
        <v>1.200338466847929E-2</v>
      </c>
      <c r="V299" s="8">
        <v>2.6971284524998307</v>
      </c>
    </row>
    <row r="300" spans="1:22" x14ac:dyDescent="0.3">
      <c r="A300" s="11" t="s">
        <v>332</v>
      </c>
      <c r="B300" s="6" t="s">
        <v>337</v>
      </c>
      <c r="C300" s="7">
        <v>224.69732721158641</v>
      </c>
      <c r="D300" s="6" t="s">
        <v>47</v>
      </c>
      <c r="E300" s="8">
        <v>26.388499999999997</v>
      </c>
      <c r="F300" s="8">
        <v>5929.4254191229484</v>
      </c>
      <c r="H300" s="9">
        <f t="shared" si="4"/>
        <v>5929.4254191229484</v>
      </c>
      <c r="I300" s="6" t="s">
        <v>0</v>
      </c>
      <c r="J300" s="6" t="s">
        <v>0</v>
      </c>
      <c r="L300" s="8">
        <v>10.388499999999999</v>
      </c>
      <c r="M300" s="8">
        <v>2334.2681837375653</v>
      </c>
      <c r="N300" s="8"/>
      <c r="O300" s="8">
        <v>16</v>
      </c>
      <c r="P300" s="8">
        <v>3595.1572353853826</v>
      </c>
      <c r="Q300" s="8"/>
      <c r="R300" s="6" t="s">
        <v>0</v>
      </c>
      <c r="S300" s="6" t="s">
        <v>0</v>
      </c>
      <c r="U300" s="6" t="s">
        <v>0</v>
      </c>
      <c r="V300" s="6" t="s">
        <v>0</v>
      </c>
    </row>
    <row r="301" spans="1:22" x14ac:dyDescent="0.3">
      <c r="A301" s="11" t="s">
        <v>332</v>
      </c>
      <c r="B301" s="6" t="s">
        <v>338</v>
      </c>
      <c r="C301" s="7">
        <v>2562.6233606544401</v>
      </c>
      <c r="D301" s="6" t="s">
        <v>65</v>
      </c>
      <c r="E301" s="8">
        <v>2.19</v>
      </c>
      <c r="F301" s="8">
        <v>5612.1451598332242</v>
      </c>
      <c r="G301" s="7"/>
      <c r="H301" s="9">
        <f t="shared" si="4"/>
        <v>5612.1451598332242</v>
      </c>
      <c r="I301" s="8">
        <v>1.1399999999999999</v>
      </c>
      <c r="J301" s="8">
        <v>2921.3906311460614</v>
      </c>
      <c r="K301" s="8"/>
      <c r="L301" s="8">
        <v>1.05</v>
      </c>
      <c r="M301" s="8">
        <v>2690.7545286871623</v>
      </c>
      <c r="N301" s="8"/>
      <c r="O301" s="6" t="s">
        <v>0</v>
      </c>
      <c r="P301" s="6" t="s">
        <v>0</v>
      </c>
      <c r="R301" s="6" t="s">
        <v>0</v>
      </c>
      <c r="S301" s="6" t="s">
        <v>0</v>
      </c>
      <c r="U301" s="6" t="s">
        <v>0</v>
      </c>
      <c r="V301" s="6" t="s">
        <v>0</v>
      </c>
    </row>
    <row r="302" spans="1:22" x14ac:dyDescent="0.3">
      <c r="A302" s="11" t="s">
        <v>332</v>
      </c>
      <c r="B302" s="6" t="s">
        <v>339</v>
      </c>
      <c r="C302" s="7">
        <v>196.28410208974589</v>
      </c>
      <c r="D302" s="6" t="s">
        <v>47</v>
      </c>
      <c r="E302" s="8">
        <v>38.960674999999995</v>
      </c>
      <c r="F302" s="8">
        <v>7647.3611091854109</v>
      </c>
      <c r="H302" s="9">
        <f t="shared" si="4"/>
        <v>7647.3611091854109</v>
      </c>
      <c r="I302" s="6" t="s">
        <v>0</v>
      </c>
      <c r="J302" s="6" t="s">
        <v>0</v>
      </c>
      <c r="L302" s="8">
        <v>16.960674999999998</v>
      </c>
      <c r="M302" s="8">
        <v>3329.1108632110008</v>
      </c>
      <c r="N302" s="8"/>
      <c r="O302" s="8">
        <v>22</v>
      </c>
      <c r="P302" s="8">
        <v>4318.2502459744092</v>
      </c>
      <c r="Q302" s="8"/>
      <c r="R302" s="6" t="s">
        <v>0</v>
      </c>
      <c r="S302" s="6" t="s">
        <v>0</v>
      </c>
      <c r="U302" s="6" t="s">
        <v>0</v>
      </c>
      <c r="V302" s="6" t="s">
        <v>0</v>
      </c>
    </row>
    <row r="303" spans="1:22" x14ac:dyDescent="0.3">
      <c r="A303" s="11" t="s">
        <v>340</v>
      </c>
      <c r="B303" s="6" t="s">
        <v>341</v>
      </c>
      <c r="C303" s="7">
        <v>403.14575880929829</v>
      </c>
      <c r="D303" s="6" t="s">
        <v>4</v>
      </c>
      <c r="E303" s="8">
        <v>1.5974440894568689E-3</v>
      </c>
      <c r="F303" s="8">
        <v>0.64400280959951806</v>
      </c>
      <c r="H303" s="9">
        <f t="shared" si="4"/>
        <v>0.64400280959951806</v>
      </c>
      <c r="I303" s="6" t="s">
        <v>0</v>
      </c>
      <c r="J303" s="6" t="s">
        <v>0</v>
      </c>
      <c r="L303" s="6" t="s">
        <v>0</v>
      </c>
      <c r="M303" s="6" t="s">
        <v>0</v>
      </c>
      <c r="O303" s="6" t="s">
        <v>0</v>
      </c>
      <c r="P303" s="6" t="s">
        <v>0</v>
      </c>
      <c r="R303" s="6" t="s">
        <v>0</v>
      </c>
      <c r="S303" s="6" t="s">
        <v>0</v>
      </c>
      <c r="U303" s="8">
        <v>1.5974440894568692E-3</v>
      </c>
      <c r="V303" s="8">
        <v>0.64400280959951806</v>
      </c>
    </row>
    <row r="304" spans="1:22" x14ac:dyDescent="0.3">
      <c r="A304" s="11" t="s">
        <v>340</v>
      </c>
      <c r="B304" s="6" t="s">
        <v>342</v>
      </c>
      <c r="C304" s="7">
        <v>403.14575880929829</v>
      </c>
      <c r="D304" s="6" t="s">
        <v>47</v>
      </c>
      <c r="E304" s="8">
        <v>10.429499999999999</v>
      </c>
      <c r="F304" s="8">
        <v>4204.6086915015758</v>
      </c>
      <c r="H304" s="9">
        <f t="shared" si="4"/>
        <v>4204.6086915015758</v>
      </c>
      <c r="I304" s="6" t="s">
        <v>0</v>
      </c>
      <c r="J304" s="6" t="s">
        <v>0</v>
      </c>
      <c r="L304" s="8">
        <v>10.429499999999999</v>
      </c>
      <c r="M304" s="8">
        <v>4204.6086915015758</v>
      </c>
      <c r="N304" s="8"/>
      <c r="O304" s="6" t="s">
        <v>0</v>
      </c>
      <c r="P304" s="6" t="s">
        <v>0</v>
      </c>
      <c r="R304" s="6" t="s">
        <v>0</v>
      </c>
      <c r="S304" s="6" t="s">
        <v>0</v>
      </c>
      <c r="U304" s="6" t="s">
        <v>0</v>
      </c>
      <c r="V304" s="6" t="s">
        <v>0</v>
      </c>
    </row>
    <row r="305" spans="1:22" x14ac:dyDescent="0.3">
      <c r="A305" s="11" t="s">
        <v>340</v>
      </c>
      <c r="B305" s="6" t="s">
        <v>343</v>
      </c>
      <c r="C305" s="7">
        <v>403.14575880929829</v>
      </c>
      <c r="D305" s="6" t="s">
        <v>47</v>
      </c>
      <c r="E305" s="8">
        <v>3.7254999999999994</v>
      </c>
      <c r="F305" s="8">
        <v>1501.9195244440407</v>
      </c>
      <c r="H305" s="9">
        <f t="shared" si="4"/>
        <v>1501.9195244440407</v>
      </c>
      <c r="I305" s="6" t="s">
        <v>0</v>
      </c>
      <c r="J305" s="6" t="s">
        <v>0</v>
      </c>
      <c r="L305" s="8">
        <v>3.7254999999999998</v>
      </c>
      <c r="M305" s="8">
        <v>1501.9195244440407</v>
      </c>
      <c r="N305" s="8"/>
      <c r="O305" s="6" t="s">
        <v>0</v>
      </c>
      <c r="P305" s="6" t="s">
        <v>0</v>
      </c>
      <c r="R305" s="6" t="s">
        <v>0</v>
      </c>
      <c r="S305" s="6" t="s">
        <v>0</v>
      </c>
      <c r="U305" s="6" t="s">
        <v>0</v>
      </c>
      <c r="V305" s="6" t="s">
        <v>0</v>
      </c>
    </row>
    <row r="306" spans="1:22" x14ac:dyDescent="0.3">
      <c r="A306" s="11" t="s">
        <v>340</v>
      </c>
      <c r="B306" s="6" t="s">
        <v>344</v>
      </c>
      <c r="C306" s="7">
        <v>403.14575880929829</v>
      </c>
      <c r="D306" s="6" t="s">
        <v>47</v>
      </c>
      <c r="E306" s="8">
        <v>24</v>
      </c>
      <c r="F306" s="8">
        <v>9675.4982114231589</v>
      </c>
      <c r="H306" s="9">
        <f t="shared" si="4"/>
        <v>9675.4982114231589</v>
      </c>
      <c r="I306" s="6" t="s">
        <v>0</v>
      </c>
      <c r="J306" s="6" t="s">
        <v>0</v>
      </c>
      <c r="L306" s="6" t="s">
        <v>0</v>
      </c>
      <c r="M306" s="6" t="s">
        <v>0</v>
      </c>
      <c r="O306" s="8">
        <v>24</v>
      </c>
      <c r="P306" s="8">
        <v>9675.4982114231589</v>
      </c>
      <c r="Q306" s="8"/>
      <c r="R306" s="6" t="s">
        <v>0</v>
      </c>
      <c r="S306" s="6" t="s">
        <v>0</v>
      </c>
      <c r="U306" s="6" t="s">
        <v>0</v>
      </c>
      <c r="V306" s="6" t="s">
        <v>0</v>
      </c>
    </row>
    <row r="307" spans="1:22" x14ac:dyDescent="0.3">
      <c r="A307" s="11" t="s">
        <v>340</v>
      </c>
      <c r="B307" s="6" t="s">
        <v>345</v>
      </c>
      <c r="C307" s="7">
        <v>321</v>
      </c>
      <c r="D307" s="6" t="s">
        <v>65</v>
      </c>
      <c r="E307" s="8">
        <v>20.407599999999999</v>
      </c>
      <c r="F307" s="8">
        <v>6550.8396000000002</v>
      </c>
      <c r="H307" s="9">
        <f t="shared" si="4"/>
        <v>6550.8396000000002</v>
      </c>
      <c r="I307" s="6" t="s">
        <v>0</v>
      </c>
      <c r="J307" s="6" t="s">
        <v>0</v>
      </c>
      <c r="L307" s="8">
        <v>2.4075999999999995</v>
      </c>
      <c r="M307" s="8">
        <v>772.8395999999999</v>
      </c>
      <c r="N307" s="8"/>
      <c r="O307" s="8">
        <v>18</v>
      </c>
      <c r="P307" s="8">
        <v>5778</v>
      </c>
      <c r="Q307" s="8"/>
      <c r="R307" s="6" t="s">
        <v>0</v>
      </c>
      <c r="S307" s="6" t="s">
        <v>0</v>
      </c>
      <c r="U307" s="6" t="s">
        <v>0</v>
      </c>
      <c r="V307" s="6" t="s">
        <v>0</v>
      </c>
    </row>
    <row r="308" spans="1:22" x14ac:dyDescent="0.3">
      <c r="A308" s="11" t="s">
        <v>340</v>
      </c>
      <c r="B308" s="6" t="s">
        <v>346</v>
      </c>
      <c r="C308" s="7">
        <v>23.192385880330541</v>
      </c>
      <c r="D308" s="6" t="s">
        <v>47</v>
      </c>
      <c r="E308" s="8">
        <v>11.423749999999998</v>
      </c>
      <c r="F308" s="8">
        <v>264.944018200426</v>
      </c>
      <c r="H308" s="9">
        <f t="shared" si="4"/>
        <v>264.944018200426</v>
      </c>
      <c r="I308" s="6" t="s">
        <v>0</v>
      </c>
      <c r="J308" s="6" t="s">
        <v>0</v>
      </c>
      <c r="L308" s="8">
        <v>11.42375</v>
      </c>
      <c r="M308" s="8">
        <v>264.944018200426</v>
      </c>
      <c r="N308" s="8"/>
      <c r="O308" s="6" t="s">
        <v>0</v>
      </c>
      <c r="P308" s="6" t="s">
        <v>0</v>
      </c>
      <c r="R308" s="6" t="s">
        <v>0</v>
      </c>
      <c r="S308" s="6" t="s">
        <v>0</v>
      </c>
      <c r="U308" s="6" t="s">
        <v>0</v>
      </c>
      <c r="V308" s="6" t="s">
        <v>0</v>
      </c>
    </row>
    <row r="309" spans="1:22" x14ac:dyDescent="0.3">
      <c r="A309" s="11" t="s">
        <v>340</v>
      </c>
      <c r="B309" s="6" t="s">
        <v>343</v>
      </c>
      <c r="C309" s="7">
        <v>46.384771760661067</v>
      </c>
      <c r="D309" s="6" t="s">
        <v>47</v>
      </c>
      <c r="E309" s="8">
        <v>3.891</v>
      </c>
      <c r="F309" s="8">
        <v>180.4831469207322</v>
      </c>
      <c r="H309" s="9">
        <f t="shared" si="4"/>
        <v>180.4831469207322</v>
      </c>
      <c r="I309" s="6" t="s">
        <v>0</v>
      </c>
      <c r="J309" s="6" t="s">
        <v>0</v>
      </c>
      <c r="L309" s="8">
        <v>3.8909999999999996</v>
      </c>
      <c r="M309" s="8">
        <v>180.4831469207322</v>
      </c>
      <c r="N309" s="8"/>
      <c r="O309" s="6" t="s">
        <v>0</v>
      </c>
      <c r="P309" s="6" t="s">
        <v>0</v>
      </c>
      <c r="R309" s="6" t="s">
        <v>0</v>
      </c>
      <c r="S309" s="6" t="s">
        <v>0</v>
      </c>
      <c r="U309" s="6" t="s">
        <v>0</v>
      </c>
      <c r="V309" s="6" t="s">
        <v>0</v>
      </c>
    </row>
    <row r="310" spans="1:22" x14ac:dyDescent="0.3">
      <c r="A310" s="11" t="s">
        <v>340</v>
      </c>
      <c r="B310" s="6" t="s">
        <v>347</v>
      </c>
      <c r="C310" s="7">
        <v>23.192385880330541</v>
      </c>
      <c r="D310" s="6" t="s">
        <v>47</v>
      </c>
      <c r="E310" s="8">
        <v>30</v>
      </c>
      <c r="F310" s="8">
        <v>695.77157640991618</v>
      </c>
      <c r="H310" s="9">
        <f t="shared" si="4"/>
        <v>695.77157640991618</v>
      </c>
      <c r="I310" s="6" t="s">
        <v>0</v>
      </c>
      <c r="J310" s="6" t="s">
        <v>0</v>
      </c>
      <c r="L310" s="6" t="s">
        <v>0</v>
      </c>
      <c r="M310" s="6" t="s">
        <v>0</v>
      </c>
      <c r="O310" s="8">
        <v>29.999999999999996</v>
      </c>
      <c r="P310" s="8">
        <v>695.77157640991618</v>
      </c>
      <c r="Q310" s="8"/>
      <c r="R310" s="6" t="s">
        <v>0</v>
      </c>
      <c r="S310" s="6" t="s">
        <v>0</v>
      </c>
      <c r="U310" s="6" t="s">
        <v>0</v>
      </c>
      <c r="V310" s="6" t="s">
        <v>0</v>
      </c>
    </row>
    <row r="311" spans="1:22" x14ac:dyDescent="0.3">
      <c r="A311" s="11" t="s">
        <v>348</v>
      </c>
      <c r="B311" s="6" t="s">
        <v>349</v>
      </c>
      <c r="C311" s="7">
        <v>269.35420657296089</v>
      </c>
      <c r="D311" s="6" t="s">
        <v>47</v>
      </c>
      <c r="E311" s="8">
        <v>37.63035</v>
      </c>
      <c r="F311" s="8">
        <v>10135.893067312818</v>
      </c>
      <c r="H311" s="9">
        <f t="shared" si="4"/>
        <v>10135.893067312818</v>
      </c>
      <c r="I311" s="6" t="s">
        <v>0</v>
      </c>
      <c r="J311" s="6" t="s">
        <v>0</v>
      </c>
      <c r="L311" s="8">
        <v>11.63035</v>
      </c>
      <c r="M311" s="8">
        <v>3132.6836964158356</v>
      </c>
      <c r="N311" s="8"/>
      <c r="O311" s="8">
        <v>26</v>
      </c>
      <c r="P311" s="8">
        <v>7003.2093708969833</v>
      </c>
      <c r="Q311" s="8"/>
      <c r="R311" s="6" t="s">
        <v>0</v>
      </c>
      <c r="S311" s="6" t="s">
        <v>0</v>
      </c>
      <c r="U311" s="6" t="s">
        <v>0</v>
      </c>
      <c r="V311" s="6" t="s">
        <v>0</v>
      </c>
    </row>
    <row r="312" spans="1:22" x14ac:dyDescent="0.3">
      <c r="A312" s="11" t="s">
        <v>348</v>
      </c>
      <c r="B312" s="6" t="s">
        <v>350</v>
      </c>
      <c r="C312" s="7">
        <v>430.96673051673753</v>
      </c>
      <c r="D312" s="6" t="s">
        <v>65</v>
      </c>
      <c r="E312" s="8">
        <v>2.19</v>
      </c>
      <c r="F312" s="8">
        <v>943.81713983165514</v>
      </c>
      <c r="G312" s="7"/>
      <c r="H312" s="9">
        <f t="shared" si="4"/>
        <v>943.81713983165514</v>
      </c>
      <c r="I312" s="8">
        <v>1.1399999999999999</v>
      </c>
      <c r="J312" s="8">
        <v>491.30207278908074</v>
      </c>
      <c r="K312" s="8"/>
      <c r="L312" s="8">
        <v>1.05</v>
      </c>
      <c r="M312" s="8">
        <v>452.5150670425744</v>
      </c>
      <c r="N312" s="8"/>
      <c r="O312" s="6" t="s">
        <v>0</v>
      </c>
      <c r="P312" s="6" t="s">
        <v>0</v>
      </c>
      <c r="R312" s="6" t="s">
        <v>0</v>
      </c>
      <c r="S312" s="6" t="s">
        <v>0</v>
      </c>
      <c r="U312" s="6" t="s">
        <v>0</v>
      </c>
      <c r="V312" s="6" t="s">
        <v>0</v>
      </c>
    </row>
    <row r="313" spans="1:22" x14ac:dyDescent="0.3">
      <c r="A313" s="11" t="s">
        <v>351</v>
      </c>
      <c r="B313" s="6" t="s">
        <v>352</v>
      </c>
      <c r="C313" s="7">
        <v>61.253975181488912</v>
      </c>
      <c r="D313" s="6" t="s">
        <v>47</v>
      </c>
      <c r="E313" s="8">
        <v>103.2525</v>
      </c>
      <c r="F313" s="8">
        <v>6324.626072426684</v>
      </c>
      <c r="H313" s="9">
        <f t="shared" si="4"/>
        <v>6324.626072426684</v>
      </c>
      <c r="I313" s="6" t="s">
        <v>0</v>
      </c>
      <c r="J313" s="6" t="s">
        <v>0</v>
      </c>
      <c r="L313" s="8">
        <v>41.032499999999999</v>
      </c>
      <c r="M313" s="8">
        <v>2513.4037366344437</v>
      </c>
      <c r="N313" s="8"/>
      <c r="O313" s="8">
        <v>62.22</v>
      </c>
      <c r="P313" s="8">
        <v>3811.2223357922398</v>
      </c>
      <c r="Q313" s="8"/>
      <c r="R313" s="6" t="s">
        <v>0</v>
      </c>
      <c r="S313" s="6" t="s">
        <v>0</v>
      </c>
      <c r="U313" s="6" t="s">
        <v>0</v>
      </c>
      <c r="V313" s="6" t="s">
        <v>0</v>
      </c>
    </row>
    <row r="314" spans="1:22" x14ac:dyDescent="0.3">
      <c r="A314" s="11" t="s">
        <v>353</v>
      </c>
      <c r="B314" s="6" t="s">
        <v>354</v>
      </c>
      <c r="C314" s="7">
        <v>46</v>
      </c>
      <c r="D314" s="6" t="s">
        <v>331</v>
      </c>
      <c r="E314" s="8">
        <v>250</v>
      </c>
      <c r="F314" s="8">
        <v>11500</v>
      </c>
      <c r="H314" s="9">
        <f t="shared" si="4"/>
        <v>11500</v>
      </c>
      <c r="I314" s="6" t="s">
        <v>0</v>
      </c>
      <c r="J314" s="6" t="s">
        <v>0</v>
      </c>
      <c r="L314" s="6" t="s">
        <v>0</v>
      </c>
      <c r="M314" s="6" t="s">
        <v>0</v>
      </c>
      <c r="O314" s="8">
        <v>250</v>
      </c>
      <c r="P314" s="8">
        <v>11500</v>
      </c>
      <c r="Q314" s="8"/>
      <c r="R314" s="6" t="s">
        <v>0</v>
      </c>
      <c r="S314" s="6" t="s">
        <v>0</v>
      </c>
      <c r="U314" s="6" t="s">
        <v>0</v>
      </c>
      <c r="V314" s="6" t="s">
        <v>0</v>
      </c>
    </row>
    <row r="315" spans="1:22" x14ac:dyDescent="0.3">
      <c r="A315" s="11" t="s">
        <v>355</v>
      </c>
      <c r="B315" s="6" t="s">
        <v>356</v>
      </c>
      <c r="C315" s="7">
        <v>58</v>
      </c>
      <c r="D315" s="6" t="s">
        <v>65</v>
      </c>
      <c r="E315" s="8">
        <v>110</v>
      </c>
      <c r="F315" s="8">
        <v>6380</v>
      </c>
      <c r="H315" s="9">
        <f t="shared" si="4"/>
        <v>6380</v>
      </c>
      <c r="I315" s="6" t="s">
        <v>0</v>
      </c>
      <c r="J315" s="6" t="s">
        <v>0</v>
      </c>
      <c r="L315" s="6" t="s">
        <v>0</v>
      </c>
      <c r="M315" s="6" t="s">
        <v>0</v>
      </c>
      <c r="O315" s="8">
        <v>110</v>
      </c>
      <c r="P315" s="8">
        <v>6380</v>
      </c>
      <c r="Q315" s="8"/>
      <c r="R315" s="6" t="s">
        <v>0</v>
      </c>
      <c r="S315" s="6" t="s">
        <v>0</v>
      </c>
      <c r="U315" s="6" t="s">
        <v>0</v>
      </c>
      <c r="V315" s="6" t="s">
        <v>0</v>
      </c>
    </row>
    <row r="316" spans="1:22" x14ac:dyDescent="0.3">
      <c r="A316" s="11" t="s">
        <v>355</v>
      </c>
      <c r="B316" s="6" t="s">
        <v>357</v>
      </c>
      <c r="C316" s="7">
        <v>64</v>
      </c>
      <c r="D316" s="6" t="s">
        <v>65</v>
      </c>
      <c r="E316" s="8">
        <v>0.83333333333333337</v>
      </c>
      <c r="F316" s="8">
        <v>53.333333333333336</v>
      </c>
      <c r="H316" s="9">
        <f t="shared" si="4"/>
        <v>53.333333333333336</v>
      </c>
      <c r="I316" s="6" t="s">
        <v>0</v>
      </c>
      <c r="J316" s="6" t="s">
        <v>0</v>
      </c>
      <c r="L316" s="6" t="s">
        <v>0</v>
      </c>
      <c r="M316" s="6" t="s">
        <v>0</v>
      </c>
      <c r="O316" s="6" t="s">
        <v>0</v>
      </c>
      <c r="P316" s="6" t="s">
        <v>0</v>
      </c>
      <c r="R316" s="6" t="s">
        <v>0</v>
      </c>
      <c r="S316" s="6" t="s">
        <v>0</v>
      </c>
      <c r="U316" s="8">
        <v>0.83333333333333337</v>
      </c>
      <c r="V316" s="8">
        <v>53.333333333333336</v>
      </c>
    </row>
    <row r="317" spans="1:22" x14ac:dyDescent="0.3">
      <c r="A317" s="11" t="s">
        <v>355</v>
      </c>
      <c r="B317" s="6" t="s">
        <v>358</v>
      </c>
      <c r="C317" s="7">
        <v>64</v>
      </c>
      <c r="D317" s="6" t="s">
        <v>65</v>
      </c>
      <c r="E317" s="8">
        <v>220</v>
      </c>
      <c r="F317" s="8">
        <v>14080</v>
      </c>
      <c r="H317" s="9">
        <f t="shared" si="4"/>
        <v>14080</v>
      </c>
      <c r="I317" s="6" t="s">
        <v>0</v>
      </c>
      <c r="J317" s="6" t="s">
        <v>0</v>
      </c>
      <c r="L317" s="6" t="s">
        <v>0</v>
      </c>
      <c r="M317" s="6" t="s">
        <v>0</v>
      </c>
      <c r="O317" s="8">
        <v>220</v>
      </c>
      <c r="P317" s="8">
        <v>14080</v>
      </c>
      <c r="Q317" s="8"/>
      <c r="R317" s="6" t="s">
        <v>0</v>
      </c>
      <c r="S317" s="6" t="s">
        <v>0</v>
      </c>
      <c r="U317" s="6" t="s">
        <v>0</v>
      </c>
      <c r="V317" s="6" t="s">
        <v>0</v>
      </c>
    </row>
    <row r="318" spans="1:22" x14ac:dyDescent="0.3">
      <c r="A318" s="11" t="s">
        <v>355</v>
      </c>
      <c r="B318" s="6" t="s">
        <v>359</v>
      </c>
      <c r="C318" s="7">
        <v>10</v>
      </c>
      <c r="D318" s="6" t="s">
        <v>65</v>
      </c>
      <c r="E318" s="8">
        <v>160</v>
      </c>
      <c r="F318" s="8">
        <v>1600</v>
      </c>
      <c r="H318" s="9">
        <f t="shared" si="4"/>
        <v>1600</v>
      </c>
      <c r="I318" s="6" t="s">
        <v>0</v>
      </c>
      <c r="J318" s="6" t="s">
        <v>0</v>
      </c>
      <c r="L318" s="6" t="s">
        <v>0</v>
      </c>
      <c r="M318" s="6" t="s">
        <v>0</v>
      </c>
      <c r="O318" s="8">
        <v>160</v>
      </c>
      <c r="P318" s="8">
        <v>1600</v>
      </c>
      <c r="Q318" s="8"/>
      <c r="R318" s="6" t="s">
        <v>0</v>
      </c>
      <c r="S318" s="6" t="s">
        <v>0</v>
      </c>
      <c r="U318" s="6" t="s">
        <v>0</v>
      </c>
      <c r="V318" s="6" t="s">
        <v>0</v>
      </c>
    </row>
    <row r="319" spans="1:22" x14ac:dyDescent="0.3">
      <c r="A319" s="11" t="s">
        <v>355</v>
      </c>
      <c r="B319" s="6" t="s">
        <v>360</v>
      </c>
      <c r="C319" s="7">
        <v>165</v>
      </c>
      <c r="D319" s="6" t="s">
        <v>65</v>
      </c>
      <c r="E319" s="8">
        <v>270</v>
      </c>
      <c r="F319" s="8">
        <v>44550</v>
      </c>
      <c r="H319" s="9">
        <f t="shared" si="4"/>
        <v>44550</v>
      </c>
      <c r="I319" s="6" t="s">
        <v>0</v>
      </c>
      <c r="J319" s="6" t="s">
        <v>0</v>
      </c>
      <c r="L319" s="6" t="s">
        <v>0</v>
      </c>
      <c r="M319" s="6" t="s">
        <v>0</v>
      </c>
      <c r="O319" s="8">
        <v>270</v>
      </c>
      <c r="P319" s="8">
        <v>44550</v>
      </c>
      <c r="Q319" s="8"/>
      <c r="R319" s="6" t="s">
        <v>0</v>
      </c>
      <c r="S319" s="6" t="s">
        <v>0</v>
      </c>
      <c r="U319" s="6" t="s">
        <v>0</v>
      </c>
      <c r="V319" s="6" t="s">
        <v>0</v>
      </c>
    </row>
    <row r="320" spans="1:22" x14ac:dyDescent="0.3">
      <c r="A320" s="11" t="s">
        <v>355</v>
      </c>
      <c r="B320" s="6" t="s">
        <v>361</v>
      </c>
      <c r="C320" s="7">
        <v>165</v>
      </c>
      <c r="D320" s="6" t="s">
        <v>65</v>
      </c>
      <c r="E320" s="8">
        <v>250</v>
      </c>
      <c r="F320" s="8">
        <v>41250</v>
      </c>
      <c r="H320" s="9">
        <f t="shared" si="4"/>
        <v>41250</v>
      </c>
      <c r="I320" s="6" t="s">
        <v>0</v>
      </c>
      <c r="J320" s="6" t="s">
        <v>0</v>
      </c>
      <c r="L320" s="6" t="s">
        <v>0</v>
      </c>
      <c r="M320" s="6" t="s">
        <v>0</v>
      </c>
      <c r="O320" s="8">
        <v>250</v>
      </c>
      <c r="P320" s="8">
        <v>41250</v>
      </c>
      <c r="Q320" s="8"/>
      <c r="R320" s="6" t="s">
        <v>0</v>
      </c>
      <c r="S320" s="6" t="s">
        <v>0</v>
      </c>
      <c r="U320" s="6" t="s">
        <v>0</v>
      </c>
      <c r="V320" s="6" t="s">
        <v>0</v>
      </c>
    </row>
    <row r="321" spans="1:22" x14ac:dyDescent="0.3">
      <c r="A321" s="11" t="s">
        <v>355</v>
      </c>
      <c r="B321" s="6" t="s">
        <v>362</v>
      </c>
      <c r="C321" s="7">
        <v>3</v>
      </c>
      <c r="D321" s="6" t="s">
        <v>45</v>
      </c>
      <c r="E321" s="8">
        <v>600</v>
      </c>
      <c r="F321" s="8">
        <v>1800</v>
      </c>
      <c r="H321" s="9">
        <f t="shared" si="4"/>
        <v>1800</v>
      </c>
      <c r="I321" s="6" t="s">
        <v>0</v>
      </c>
      <c r="J321" s="6" t="s">
        <v>0</v>
      </c>
      <c r="L321" s="6" t="s">
        <v>0</v>
      </c>
      <c r="M321" s="6" t="s">
        <v>0</v>
      </c>
      <c r="O321" s="8">
        <v>600</v>
      </c>
      <c r="P321" s="8">
        <v>1800</v>
      </c>
      <c r="Q321" s="8"/>
      <c r="R321" s="6" t="s">
        <v>0</v>
      </c>
      <c r="S321" s="6" t="s">
        <v>0</v>
      </c>
      <c r="U321" s="6" t="s">
        <v>0</v>
      </c>
      <c r="V321" s="6" t="s">
        <v>0</v>
      </c>
    </row>
    <row r="322" spans="1:22" x14ac:dyDescent="0.3">
      <c r="A322" s="11" t="s">
        <v>355</v>
      </c>
      <c r="B322" s="6" t="s">
        <v>363</v>
      </c>
      <c r="C322" s="7">
        <v>46</v>
      </c>
      <c r="D322" s="6" t="s">
        <v>65</v>
      </c>
      <c r="E322" s="8">
        <v>400</v>
      </c>
      <c r="F322" s="8">
        <v>18400</v>
      </c>
      <c r="H322" s="9">
        <f t="shared" si="4"/>
        <v>18400</v>
      </c>
      <c r="I322" s="6" t="s">
        <v>0</v>
      </c>
      <c r="J322" s="6" t="s">
        <v>0</v>
      </c>
      <c r="L322" s="6" t="s">
        <v>0</v>
      </c>
      <c r="M322" s="6" t="s">
        <v>0</v>
      </c>
      <c r="O322" s="8">
        <v>400</v>
      </c>
      <c r="P322" s="8">
        <v>18400</v>
      </c>
      <c r="Q322" s="8"/>
      <c r="R322" s="6" t="s">
        <v>0</v>
      </c>
      <c r="S322" s="6" t="s">
        <v>0</v>
      </c>
      <c r="U322" s="6" t="s">
        <v>0</v>
      </c>
      <c r="V322" s="6" t="s">
        <v>0</v>
      </c>
    </row>
    <row r="323" spans="1:22" x14ac:dyDescent="0.3">
      <c r="A323" s="11" t="s">
        <v>355</v>
      </c>
      <c r="B323" s="6" t="s">
        <v>364</v>
      </c>
      <c r="C323" s="7">
        <v>6.8634274301027958</v>
      </c>
      <c r="D323" s="6" t="s">
        <v>65</v>
      </c>
      <c r="E323" s="8">
        <v>200</v>
      </c>
      <c r="F323" s="8">
        <v>1372.6854860205592</v>
      </c>
      <c r="H323" s="9">
        <f t="shared" si="4"/>
        <v>1372.6854860205592</v>
      </c>
      <c r="I323" s="6" t="s">
        <v>0</v>
      </c>
      <c r="J323" s="6" t="s">
        <v>0</v>
      </c>
      <c r="L323" s="6" t="s">
        <v>0</v>
      </c>
      <c r="M323" s="6" t="s">
        <v>0</v>
      </c>
      <c r="O323" s="8">
        <v>200</v>
      </c>
      <c r="P323" s="8">
        <v>1372.6854860205592</v>
      </c>
      <c r="Q323" s="8"/>
      <c r="R323" s="6" t="s">
        <v>0</v>
      </c>
      <c r="S323" s="6" t="s">
        <v>0</v>
      </c>
      <c r="U323" s="6" t="s">
        <v>0</v>
      </c>
      <c r="V323" s="6" t="s">
        <v>0</v>
      </c>
    </row>
    <row r="324" spans="1:22" x14ac:dyDescent="0.3">
      <c r="A324" s="11" t="s">
        <v>365</v>
      </c>
      <c r="B324" s="6" t="s">
        <v>366</v>
      </c>
      <c r="C324" s="7">
        <v>1</v>
      </c>
      <c r="D324" s="6" t="s">
        <v>4</v>
      </c>
      <c r="E324" s="8">
        <v>4800</v>
      </c>
      <c r="F324" s="8">
        <v>4800</v>
      </c>
      <c r="H324" s="9">
        <f t="shared" ref="H324:H387" si="5">IF(AND(K324="",N324="",Q324="", T324="", W324=""), F324,K324+ N324+Q324+T324+W324)</f>
        <v>4800</v>
      </c>
      <c r="I324" s="6" t="s">
        <v>0</v>
      </c>
      <c r="J324" s="6" t="s">
        <v>0</v>
      </c>
      <c r="L324" s="6" t="s">
        <v>0</v>
      </c>
      <c r="M324" s="6" t="s">
        <v>0</v>
      </c>
      <c r="O324" s="8">
        <v>4800</v>
      </c>
      <c r="P324" s="8">
        <v>4800</v>
      </c>
      <c r="Q324" s="8"/>
      <c r="R324" s="6" t="s">
        <v>0</v>
      </c>
      <c r="S324" s="6" t="s">
        <v>0</v>
      </c>
      <c r="U324" s="6" t="s">
        <v>0</v>
      </c>
      <c r="V324" s="6" t="s">
        <v>0</v>
      </c>
    </row>
    <row r="325" spans="1:22" x14ac:dyDescent="0.3">
      <c r="A325" s="11" t="s">
        <v>367</v>
      </c>
      <c r="B325" s="6" t="s">
        <v>368</v>
      </c>
      <c r="C325" s="7">
        <v>705</v>
      </c>
      <c r="D325" s="6" t="s">
        <v>47</v>
      </c>
      <c r="E325" s="8">
        <v>22.574999999999999</v>
      </c>
      <c r="F325" s="8">
        <v>15915.375</v>
      </c>
      <c r="H325" s="9">
        <f t="shared" si="5"/>
        <v>15915.375</v>
      </c>
      <c r="I325" s="6" t="s">
        <v>0</v>
      </c>
      <c r="J325" s="6" t="s">
        <v>0</v>
      </c>
      <c r="L325" s="6" t="s">
        <v>0</v>
      </c>
      <c r="M325" s="6" t="s">
        <v>0</v>
      </c>
      <c r="O325" s="8">
        <v>22.574999999999999</v>
      </c>
      <c r="P325" s="8">
        <v>15915.375</v>
      </c>
      <c r="Q325" s="8"/>
      <c r="R325" s="6" t="s">
        <v>0</v>
      </c>
      <c r="S325" s="6" t="s">
        <v>0</v>
      </c>
      <c r="U325" s="6" t="s">
        <v>0</v>
      </c>
      <c r="V325" s="6" t="s">
        <v>0</v>
      </c>
    </row>
    <row r="326" spans="1:22" x14ac:dyDescent="0.3">
      <c r="A326" s="11" t="s">
        <v>367</v>
      </c>
      <c r="B326" s="6" t="s">
        <v>369</v>
      </c>
      <c r="C326" s="7">
        <v>25</v>
      </c>
      <c r="D326" s="6" t="s">
        <v>65</v>
      </c>
      <c r="E326" s="8">
        <v>13</v>
      </c>
      <c r="F326" s="8">
        <v>325</v>
      </c>
      <c r="H326" s="9">
        <f t="shared" si="5"/>
        <v>325</v>
      </c>
      <c r="I326" s="6" t="s">
        <v>0</v>
      </c>
      <c r="J326" s="6" t="s">
        <v>0</v>
      </c>
      <c r="L326" s="6" t="s">
        <v>0</v>
      </c>
      <c r="M326" s="6" t="s">
        <v>0</v>
      </c>
      <c r="O326" s="8">
        <v>13</v>
      </c>
      <c r="P326" s="8">
        <v>325</v>
      </c>
      <c r="Q326" s="8"/>
      <c r="R326" s="6" t="s">
        <v>0</v>
      </c>
      <c r="S326" s="6" t="s">
        <v>0</v>
      </c>
      <c r="U326" s="6" t="s">
        <v>0</v>
      </c>
      <c r="V326" s="6" t="s">
        <v>0</v>
      </c>
    </row>
    <row r="327" spans="1:22" x14ac:dyDescent="0.3">
      <c r="A327" s="11" t="s">
        <v>367</v>
      </c>
      <c r="B327" s="6" t="s">
        <v>370</v>
      </c>
      <c r="C327" s="7">
        <v>80</v>
      </c>
      <c r="D327" s="6" t="s">
        <v>65</v>
      </c>
      <c r="E327" s="8">
        <v>15</v>
      </c>
      <c r="F327" s="8">
        <v>1200</v>
      </c>
      <c r="H327" s="9">
        <f t="shared" si="5"/>
        <v>1200</v>
      </c>
      <c r="I327" s="6" t="s">
        <v>0</v>
      </c>
      <c r="J327" s="6" t="s">
        <v>0</v>
      </c>
      <c r="L327" s="6" t="s">
        <v>0</v>
      </c>
      <c r="M327" s="6" t="s">
        <v>0</v>
      </c>
      <c r="O327" s="8">
        <v>15</v>
      </c>
      <c r="P327" s="8">
        <v>1200</v>
      </c>
      <c r="Q327" s="8"/>
      <c r="R327" s="6" t="s">
        <v>0</v>
      </c>
      <c r="S327" s="6" t="s">
        <v>0</v>
      </c>
      <c r="U327" s="6" t="s">
        <v>0</v>
      </c>
      <c r="V327" s="6" t="s">
        <v>0</v>
      </c>
    </row>
    <row r="328" spans="1:22" x14ac:dyDescent="0.3">
      <c r="A328" s="11" t="s">
        <v>367</v>
      </c>
      <c r="B328" s="6" t="s">
        <v>371</v>
      </c>
      <c r="C328" s="7">
        <v>10</v>
      </c>
      <c r="D328" s="6" t="s">
        <v>45</v>
      </c>
      <c r="E328" s="8">
        <v>180</v>
      </c>
      <c r="F328" s="8">
        <v>1800</v>
      </c>
      <c r="H328" s="9">
        <f t="shared" si="5"/>
        <v>1800</v>
      </c>
      <c r="I328" s="6" t="s">
        <v>0</v>
      </c>
      <c r="J328" s="6" t="s">
        <v>0</v>
      </c>
      <c r="L328" s="6" t="s">
        <v>0</v>
      </c>
      <c r="M328" s="6" t="s">
        <v>0</v>
      </c>
      <c r="O328" s="8">
        <v>180</v>
      </c>
      <c r="P328" s="8">
        <v>1800</v>
      </c>
      <c r="Q328" s="8"/>
      <c r="R328" s="6" t="s">
        <v>0</v>
      </c>
      <c r="S328" s="6" t="s">
        <v>0</v>
      </c>
      <c r="U328" s="6" t="s">
        <v>0</v>
      </c>
      <c r="V328" s="6" t="s">
        <v>0</v>
      </c>
    </row>
    <row r="329" spans="1:22" x14ac:dyDescent="0.3">
      <c r="A329" s="11" t="s">
        <v>367</v>
      </c>
      <c r="B329" s="6" t="s">
        <v>372</v>
      </c>
      <c r="C329" s="7">
        <v>5</v>
      </c>
      <c r="D329" s="6" t="s">
        <v>45</v>
      </c>
      <c r="E329" s="8">
        <v>250</v>
      </c>
      <c r="F329" s="8">
        <v>1250</v>
      </c>
      <c r="H329" s="9">
        <f t="shared" si="5"/>
        <v>1250</v>
      </c>
      <c r="I329" s="6" t="s">
        <v>0</v>
      </c>
      <c r="J329" s="6" t="s">
        <v>0</v>
      </c>
      <c r="L329" s="6" t="s">
        <v>0</v>
      </c>
      <c r="M329" s="6" t="s">
        <v>0</v>
      </c>
      <c r="O329" s="8">
        <v>250</v>
      </c>
      <c r="P329" s="8">
        <v>1250</v>
      </c>
      <c r="Q329" s="8"/>
      <c r="R329" s="6" t="s">
        <v>0</v>
      </c>
      <c r="S329" s="6" t="s">
        <v>0</v>
      </c>
      <c r="U329" s="6" t="s">
        <v>0</v>
      </c>
      <c r="V329" s="6" t="s">
        <v>0</v>
      </c>
    </row>
    <row r="330" spans="1:22" x14ac:dyDescent="0.3">
      <c r="A330" s="11" t="s">
        <v>367</v>
      </c>
      <c r="B330" s="6" t="s">
        <v>176</v>
      </c>
      <c r="C330" s="7">
        <v>26.54</v>
      </c>
      <c r="D330" s="6" t="s">
        <v>47</v>
      </c>
      <c r="E330" s="8">
        <v>21</v>
      </c>
      <c r="F330" s="8">
        <v>557.34</v>
      </c>
      <c r="H330" s="9">
        <f t="shared" si="5"/>
        <v>557.34</v>
      </c>
      <c r="I330" s="6" t="s">
        <v>0</v>
      </c>
      <c r="J330" s="6" t="s">
        <v>0</v>
      </c>
      <c r="L330" s="6" t="s">
        <v>0</v>
      </c>
      <c r="M330" s="6" t="s">
        <v>0</v>
      </c>
      <c r="O330" s="8">
        <v>21.000000000000004</v>
      </c>
      <c r="P330" s="8">
        <v>557.34</v>
      </c>
      <c r="Q330" s="8"/>
      <c r="R330" s="6" t="s">
        <v>0</v>
      </c>
      <c r="S330" s="6" t="s">
        <v>0</v>
      </c>
      <c r="U330" s="6" t="s">
        <v>0</v>
      </c>
      <c r="V330" s="6" t="s">
        <v>0</v>
      </c>
    </row>
    <row r="331" spans="1:22" x14ac:dyDescent="0.3">
      <c r="A331" s="11" t="s">
        <v>367</v>
      </c>
      <c r="B331" s="6" t="s">
        <v>369</v>
      </c>
      <c r="C331" s="7">
        <v>17</v>
      </c>
      <c r="D331" s="6" t="s">
        <v>65</v>
      </c>
      <c r="E331" s="8">
        <v>13</v>
      </c>
      <c r="F331" s="8">
        <v>221</v>
      </c>
      <c r="H331" s="9">
        <f t="shared" si="5"/>
        <v>221</v>
      </c>
      <c r="I331" s="6" t="s">
        <v>0</v>
      </c>
      <c r="J331" s="6" t="s">
        <v>0</v>
      </c>
      <c r="L331" s="6" t="s">
        <v>0</v>
      </c>
      <c r="M331" s="6" t="s">
        <v>0</v>
      </c>
      <c r="O331" s="8">
        <v>13</v>
      </c>
      <c r="P331" s="8">
        <v>221</v>
      </c>
      <c r="Q331" s="8"/>
      <c r="R331" s="6" t="s">
        <v>0</v>
      </c>
      <c r="S331" s="6" t="s">
        <v>0</v>
      </c>
      <c r="U331" s="6" t="s">
        <v>0</v>
      </c>
      <c r="V331" s="6" t="s">
        <v>0</v>
      </c>
    </row>
    <row r="332" spans="1:22" x14ac:dyDescent="0.3">
      <c r="A332" s="11" t="s">
        <v>367</v>
      </c>
      <c r="B332" s="6" t="s">
        <v>370</v>
      </c>
      <c r="C332" s="7">
        <v>27</v>
      </c>
      <c r="D332" s="6" t="s">
        <v>65</v>
      </c>
      <c r="E332" s="8">
        <v>15</v>
      </c>
      <c r="F332" s="8">
        <v>405</v>
      </c>
      <c r="H332" s="9">
        <f t="shared" si="5"/>
        <v>405</v>
      </c>
      <c r="I332" s="6" t="s">
        <v>0</v>
      </c>
      <c r="J332" s="6" t="s">
        <v>0</v>
      </c>
      <c r="L332" s="6" t="s">
        <v>0</v>
      </c>
      <c r="M332" s="6" t="s">
        <v>0</v>
      </c>
      <c r="O332" s="8">
        <v>15</v>
      </c>
      <c r="P332" s="8">
        <v>405</v>
      </c>
      <c r="Q332" s="8"/>
      <c r="R332" s="6" t="s">
        <v>0</v>
      </c>
      <c r="S332" s="6" t="s">
        <v>0</v>
      </c>
      <c r="U332" s="6" t="s">
        <v>0</v>
      </c>
      <c r="V332" s="6" t="s">
        <v>0</v>
      </c>
    </row>
    <row r="333" spans="1:22" x14ac:dyDescent="0.3">
      <c r="A333" s="11" t="s">
        <v>367</v>
      </c>
      <c r="B333" s="6" t="s">
        <v>373</v>
      </c>
      <c r="C333" s="7">
        <v>17</v>
      </c>
      <c r="D333" s="6" t="s">
        <v>65</v>
      </c>
      <c r="E333" s="8">
        <v>8.4</v>
      </c>
      <c r="F333" s="8">
        <v>142.80000000000001</v>
      </c>
      <c r="H333" s="9">
        <f t="shared" si="5"/>
        <v>142.80000000000001</v>
      </c>
      <c r="I333" s="6" t="s">
        <v>0</v>
      </c>
      <c r="J333" s="6" t="s">
        <v>0</v>
      </c>
      <c r="L333" s="6" t="s">
        <v>0</v>
      </c>
      <c r="M333" s="6" t="s">
        <v>0</v>
      </c>
      <c r="O333" s="8">
        <v>8.4</v>
      </c>
      <c r="P333" s="8">
        <v>142.80000000000001</v>
      </c>
      <c r="Q333" s="8"/>
      <c r="R333" s="6" t="s">
        <v>0</v>
      </c>
      <c r="S333" s="6" t="s">
        <v>0</v>
      </c>
      <c r="U333" s="6" t="s">
        <v>0</v>
      </c>
      <c r="V333" s="6" t="s">
        <v>0</v>
      </c>
    </row>
    <row r="334" spans="1:22" x14ac:dyDescent="0.3">
      <c r="A334" s="11" t="s">
        <v>367</v>
      </c>
      <c r="B334" s="6" t="s">
        <v>374</v>
      </c>
      <c r="C334" s="7">
        <v>555.22807321249991</v>
      </c>
      <c r="D334" s="6" t="s">
        <v>47</v>
      </c>
      <c r="E334" s="8">
        <v>9.5</v>
      </c>
      <c r="F334" s="8">
        <v>5274.6666955187493</v>
      </c>
      <c r="H334" s="9">
        <f t="shared" si="5"/>
        <v>5274.6666955187493</v>
      </c>
      <c r="I334" s="6" t="s">
        <v>0</v>
      </c>
      <c r="J334" s="6" t="s">
        <v>0</v>
      </c>
      <c r="L334" s="6" t="s">
        <v>0</v>
      </c>
      <c r="M334" s="6" t="s">
        <v>0</v>
      </c>
      <c r="O334" s="8">
        <v>9.5</v>
      </c>
      <c r="P334" s="8">
        <v>5274.6666955187493</v>
      </c>
      <c r="Q334" s="8"/>
      <c r="R334" s="6" t="s">
        <v>0</v>
      </c>
      <c r="S334" s="6" t="s">
        <v>0</v>
      </c>
      <c r="U334" s="6" t="s">
        <v>0</v>
      </c>
      <c r="V334" s="6" t="s">
        <v>0</v>
      </c>
    </row>
    <row r="335" spans="1:22" x14ac:dyDescent="0.3">
      <c r="A335" s="11" t="s">
        <v>375</v>
      </c>
      <c r="B335" s="6" t="s">
        <v>376</v>
      </c>
      <c r="C335" s="7">
        <v>834.16658388120356</v>
      </c>
      <c r="D335" s="6" t="s">
        <v>47</v>
      </c>
      <c r="E335" s="8">
        <v>19.5</v>
      </c>
      <c r="F335" s="8">
        <v>16266.24838568347</v>
      </c>
      <c r="H335" s="9">
        <f t="shared" si="5"/>
        <v>16266.24838568347</v>
      </c>
      <c r="I335" s="6" t="s">
        <v>0</v>
      </c>
      <c r="J335" s="6" t="s">
        <v>0</v>
      </c>
      <c r="L335" s="6" t="s">
        <v>0</v>
      </c>
      <c r="M335" s="6" t="s">
        <v>0</v>
      </c>
      <c r="O335" s="8">
        <v>19.5</v>
      </c>
      <c r="P335" s="8">
        <v>16266.24838568347</v>
      </c>
      <c r="Q335" s="8"/>
      <c r="R335" s="6" t="s">
        <v>0</v>
      </c>
      <c r="S335" s="6" t="s">
        <v>0</v>
      </c>
      <c r="U335" s="6" t="s">
        <v>0</v>
      </c>
      <c r="V335" s="6" t="s">
        <v>0</v>
      </c>
    </row>
    <row r="336" spans="1:22" x14ac:dyDescent="0.3">
      <c r="A336" s="11" t="s">
        <v>375</v>
      </c>
      <c r="B336" s="6" t="s">
        <v>377</v>
      </c>
      <c r="C336" s="7">
        <v>834.16658388120356</v>
      </c>
      <c r="D336" s="6" t="s">
        <v>47</v>
      </c>
      <c r="E336" s="8">
        <v>39.5</v>
      </c>
      <c r="F336" s="8">
        <v>32949.580063307541</v>
      </c>
      <c r="H336" s="9">
        <f t="shared" si="5"/>
        <v>32949.580063307541</v>
      </c>
      <c r="I336" s="6" t="s">
        <v>0</v>
      </c>
      <c r="J336" s="6" t="s">
        <v>0</v>
      </c>
      <c r="L336" s="8">
        <v>11.5</v>
      </c>
      <c r="M336" s="8">
        <v>9592.9157146338403</v>
      </c>
      <c r="N336" s="8"/>
      <c r="O336" s="8">
        <v>28</v>
      </c>
      <c r="P336" s="8">
        <v>23356.664348673701</v>
      </c>
      <c r="Q336" s="8"/>
      <c r="R336" s="6" t="s">
        <v>0</v>
      </c>
      <c r="S336" s="6" t="s">
        <v>0</v>
      </c>
      <c r="U336" s="6" t="s">
        <v>0</v>
      </c>
      <c r="V336" s="6" t="s">
        <v>0</v>
      </c>
    </row>
    <row r="337" spans="1:22" x14ac:dyDescent="0.3">
      <c r="A337" s="11" t="s">
        <v>375</v>
      </c>
      <c r="B337" s="6" t="s">
        <v>378</v>
      </c>
      <c r="C337" s="7">
        <v>951.34658388120363</v>
      </c>
      <c r="D337" s="6" t="s">
        <v>47</v>
      </c>
      <c r="E337" s="8">
        <v>2.0830000000000002</v>
      </c>
      <c r="F337" s="8">
        <v>1981.6549342245471</v>
      </c>
      <c r="H337" s="9">
        <f t="shared" si="5"/>
        <v>1981.6549342245471</v>
      </c>
      <c r="I337" s="6" t="s">
        <v>0</v>
      </c>
      <c r="J337" s="6" t="s">
        <v>0</v>
      </c>
      <c r="L337" s="8">
        <v>1.083</v>
      </c>
      <c r="M337" s="8">
        <v>1030.3083503433436</v>
      </c>
      <c r="N337" s="8"/>
      <c r="O337" s="8">
        <v>1</v>
      </c>
      <c r="P337" s="8">
        <v>951.34658388120363</v>
      </c>
      <c r="Q337" s="8"/>
      <c r="R337" s="6" t="s">
        <v>0</v>
      </c>
      <c r="S337" s="6" t="s">
        <v>0</v>
      </c>
      <c r="U337" s="6" t="s">
        <v>0</v>
      </c>
      <c r="V337" s="6" t="s">
        <v>0</v>
      </c>
    </row>
    <row r="338" spans="1:22" x14ac:dyDescent="0.3">
      <c r="A338" s="11" t="s">
        <v>375</v>
      </c>
      <c r="B338" s="6" t="s">
        <v>379</v>
      </c>
      <c r="C338" s="7">
        <v>110</v>
      </c>
      <c r="D338" s="6" t="s">
        <v>45</v>
      </c>
      <c r="E338" s="8">
        <v>25</v>
      </c>
      <c r="F338" s="8">
        <v>2750</v>
      </c>
      <c r="H338" s="9">
        <f t="shared" si="5"/>
        <v>2750</v>
      </c>
      <c r="I338" s="6" t="s">
        <v>0</v>
      </c>
      <c r="J338" s="6" t="s">
        <v>0</v>
      </c>
      <c r="L338" s="8">
        <v>15</v>
      </c>
      <c r="M338" s="8">
        <v>1650</v>
      </c>
      <c r="N338" s="8"/>
      <c r="O338" s="8">
        <v>10</v>
      </c>
      <c r="P338" s="8">
        <v>1100</v>
      </c>
      <c r="Q338" s="8"/>
      <c r="R338" s="6" t="s">
        <v>0</v>
      </c>
      <c r="S338" s="6" t="s">
        <v>0</v>
      </c>
      <c r="U338" s="6" t="s">
        <v>0</v>
      </c>
      <c r="V338" s="6" t="s">
        <v>0</v>
      </c>
    </row>
    <row r="339" spans="1:22" x14ac:dyDescent="0.3">
      <c r="A339" s="11" t="s">
        <v>375</v>
      </c>
      <c r="B339" s="6" t="s">
        <v>380</v>
      </c>
      <c r="C339" s="7">
        <v>834.16658388120356</v>
      </c>
      <c r="D339" s="6" t="s">
        <v>47</v>
      </c>
      <c r="E339" s="8">
        <v>1.28</v>
      </c>
      <c r="F339" s="8">
        <v>1067.7332273679406</v>
      </c>
      <c r="G339" s="7"/>
      <c r="H339" s="9">
        <f t="shared" si="5"/>
        <v>1067.7332273679406</v>
      </c>
      <c r="I339" s="8">
        <v>1.28</v>
      </c>
      <c r="J339" s="8">
        <v>1067.7332273679406</v>
      </c>
      <c r="K339" s="8"/>
      <c r="L339" s="6" t="s">
        <v>0</v>
      </c>
      <c r="M339" s="6" t="s">
        <v>0</v>
      </c>
      <c r="O339" s="6" t="s">
        <v>0</v>
      </c>
      <c r="P339" s="6" t="s">
        <v>0</v>
      </c>
      <c r="R339" s="6" t="s">
        <v>0</v>
      </c>
      <c r="S339" s="6" t="s">
        <v>0</v>
      </c>
      <c r="U339" s="6" t="s">
        <v>0</v>
      </c>
      <c r="V339" s="6" t="s">
        <v>0</v>
      </c>
    </row>
    <row r="340" spans="1:22" x14ac:dyDescent="0.3">
      <c r="A340" s="11" t="s">
        <v>375</v>
      </c>
      <c r="B340" s="6" t="s">
        <v>381</v>
      </c>
      <c r="C340" s="7">
        <v>288.5587329011737</v>
      </c>
      <c r="D340" s="6" t="s">
        <v>47</v>
      </c>
      <c r="E340" s="8">
        <v>1</v>
      </c>
      <c r="F340" s="8">
        <v>288.5587329011737</v>
      </c>
      <c r="H340" s="9">
        <f t="shared" si="5"/>
        <v>288.5587329011737</v>
      </c>
      <c r="I340" s="6" t="s">
        <v>0</v>
      </c>
      <c r="J340" s="6" t="s">
        <v>0</v>
      </c>
      <c r="L340" s="6" t="s">
        <v>0</v>
      </c>
      <c r="M340" s="6" t="s">
        <v>0</v>
      </c>
      <c r="O340" s="6" t="s">
        <v>0</v>
      </c>
      <c r="P340" s="6" t="s">
        <v>0</v>
      </c>
      <c r="R340" s="6" t="s">
        <v>0</v>
      </c>
      <c r="S340" s="6" t="s">
        <v>0</v>
      </c>
      <c r="U340" s="8">
        <v>1</v>
      </c>
      <c r="V340" s="8">
        <v>288.5587329011737</v>
      </c>
    </row>
    <row r="341" spans="1:22" x14ac:dyDescent="0.3">
      <c r="A341" s="11" t="s">
        <v>375</v>
      </c>
      <c r="B341" s="6" t="s">
        <v>382</v>
      </c>
      <c r="C341" s="7">
        <v>288.5587329011737</v>
      </c>
      <c r="D341" s="6" t="s">
        <v>47</v>
      </c>
      <c r="E341" s="8">
        <v>23</v>
      </c>
      <c r="F341" s="8">
        <v>6636.8508567269946</v>
      </c>
      <c r="H341" s="9">
        <f t="shared" si="5"/>
        <v>6636.8508567269946</v>
      </c>
      <c r="I341" s="6" t="s">
        <v>0</v>
      </c>
      <c r="J341" s="6" t="s">
        <v>0</v>
      </c>
      <c r="L341" s="8">
        <v>10</v>
      </c>
      <c r="M341" s="8">
        <v>2885.587329011737</v>
      </c>
      <c r="N341" s="8"/>
      <c r="O341" s="8">
        <v>13</v>
      </c>
      <c r="P341" s="8">
        <v>3751.2635277152581</v>
      </c>
      <c r="Q341" s="8"/>
      <c r="R341" s="6" t="s">
        <v>0</v>
      </c>
      <c r="S341" s="6" t="s">
        <v>0</v>
      </c>
      <c r="U341" s="6" t="s">
        <v>0</v>
      </c>
      <c r="V341" s="6" t="s">
        <v>0</v>
      </c>
    </row>
    <row r="342" spans="1:22" x14ac:dyDescent="0.3">
      <c r="A342" s="11" t="s">
        <v>375</v>
      </c>
      <c r="B342" s="6" t="s">
        <v>383</v>
      </c>
      <c r="C342" s="7">
        <v>302.15873290117372</v>
      </c>
      <c r="D342" s="6" t="s">
        <v>47</v>
      </c>
      <c r="E342" s="8">
        <v>52.5</v>
      </c>
      <c r="F342" s="8">
        <v>15863.33347731162</v>
      </c>
      <c r="H342" s="9">
        <f t="shared" si="5"/>
        <v>15863.33347731162</v>
      </c>
      <c r="I342" s="6" t="s">
        <v>0</v>
      </c>
      <c r="J342" s="6" t="s">
        <v>0</v>
      </c>
      <c r="L342" s="8">
        <v>16.5</v>
      </c>
      <c r="M342" s="8">
        <v>4985.6190928693668</v>
      </c>
      <c r="N342" s="8"/>
      <c r="O342" s="8">
        <v>36</v>
      </c>
      <c r="P342" s="8">
        <v>10877.714384442254</v>
      </c>
      <c r="Q342" s="8"/>
      <c r="R342" s="6" t="s">
        <v>0</v>
      </c>
      <c r="S342" s="6" t="s">
        <v>0</v>
      </c>
      <c r="U342" s="6" t="s">
        <v>0</v>
      </c>
      <c r="V342" s="6" t="s">
        <v>0</v>
      </c>
    </row>
    <row r="343" spans="1:22" x14ac:dyDescent="0.3">
      <c r="A343" s="11" t="s">
        <v>375</v>
      </c>
      <c r="B343" s="6" t="s">
        <v>384</v>
      </c>
      <c r="C343" s="7">
        <v>302.15873290117372</v>
      </c>
      <c r="D343" s="6" t="s">
        <v>47</v>
      </c>
      <c r="E343" s="8">
        <v>17.5</v>
      </c>
      <c r="F343" s="8">
        <v>5287.7778257705395</v>
      </c>
      <c r="H343" s="9">
        <f t="shared" si="5"/>
        <v>5287.7778257705395</v>
      </c>
      <c r="I343" s="6" t="s">
        <v>0</v>
      </c>
      <c r="J343" s="6" t="s">
        <v>0</v>
      </c>
      <c r="L343" s="6" t="s">
        <v>0</v>
      </c>
      <c r="M343" s="6" t="s">
        <v>0</v>
      </c>
      <c r="O343" s="8">
        <v>17.499999999999996</v>
      </c>
      <c r="P343" s="8">
        <v>5287.7778257705395</v>
      </c>
      <c r="Q343" s="8"/>
      <c r="R343" s="6" t="s">
        <v>0</v>
      </c>
      <c r="S343" s="6" t="s">
        <v>0</v>
      </c>
      <c r="U343" s="6" t="s">
        <v>0</v>
      </c>
      <c r="V343" s="6" t="s">
        <v>0</v>
      </c>
    </row>
    <row r="344" spans="1:22" x14ac:dyDescent="0.3">
      <c r="A344" s="11" t="s">
        <v>375</v>
      </c>
      <c r="B344" s="6" t="s">
        <v>380</v>
      </c>
      <c r="C344" s="7">
        <v>302.15873290117372</v>
      </c>
      <c r="D344" s="6" t="s">
        <v>47</v>
      </c>
      <c r="E344" s="8">
        <v>1.28</v>
      </c>
      <c r="F344" s="8">
        <v>386.76317811350236</v>
      </c>
      <c r="G344" s="7"/>
      <c r="H344" s="9">
        <f t="shared" si="5"/>
        <v>386.76317811350236</v>
      </c>
      <c r="I344" s="8">
        <v>1.28</v>
      </c>
      <c r="J344" s="8">
        <v>386.76317811350236</v>
      </c>
      <c r="K344" s="8"/>
      <c r="L344" s="6" t="s">
        <v>0</v>
      </c>
      <c r="M344" s="6" t="s">
        <v>0</v>
      </c>
      <c r="O344" s="6" t="s">
        <v>0</v>
      </c>
      <c r="P344" s="6" t="s">
        <v>0</v>
      </c>
      <c r="R344" s="6" t="s">
        <v>0</v>
      </c>
      <c r="S344" s="6" t="s">
        <v>0</v>
      </c>
      <c r="U344" s="6" t="s">
        <v>0</v>
      </c>
      <c r="V344" s="6" t="s">
        <v>0</v>
      </c>
    </row>
    <row r="345" spans="1:22" x14ac:dyDescent="0.3">
      <c r="A345" s="11" t="s">
        <v>385</v>
      </c>
      <c r="B345" s="6" t="s">
        <v>380</v>
      </c>
      <c r="C345" s="7">
        <v>40.965115736958083</v>
      </c>
      <c r="D345" s="6" t="s">
        <v>47</v>
      </c>
      <c r="E345" s="8">
        <v>1.28</v>
      </c>
      <c r="F345" s="8">
        <v>52.435348143306349</v>
      </c>
      <c r="G345" s="7"/>
      <c r="H345" s="9">
        <f t="shared" si="5"/>
        <v>52.435348143306349</v>
      </c>
      <c r="I345" s="8">
        <v>1.28</v>
      </c>
      <c r="J345" s="8">
        <v>52.435348143306349</v>
      </c>
      <c r="K345" s="8"/>
      <c r="L345" s="6" t="s">
        <v>0</v>
      </c>
      <c r="M345" s="6" t="s">
        <v>0</v>
      </c>
      <c r="O345" s="6" t="s">
        <v>0</v>
      </c>
      <c r="P345" s="6" t="s">
        <v>0</v>
      </c>
      <c r="R345" s="6" t="s">
        <v>0</v>
      </c>
      <c r="S345" s="6" t="s">
        <v>0</v>
      </c>
      <c r="U345" s="6" t="s">
        <v>0</v>
      </c>
      <c r="V345" s="6" t="s">
        <v>0</v>
      </c>
    </row>
    <row r="346" spans="1:22" x14ac:dyDescent="0.3">
      <c r="A346" s="11" t="s">
        <v>385</v>
      </c>
      <c r="B346" s="6" t="s">
        <v>382</v>
      </c>
      <c r="C346" s="7">
        <v>40.965115736958083</v>
      </c>
      <c r="D346" s="6" t="s">
        <v>47</v>
      </c>
      <c r="E346" s="8">
        <v>25.8</v>
      </c>
      <c r="F346" s="8">
        <v>1056.8999860135186</v>
      </c>
      <c r="G346" s="7"/>
      <c r="H346" s="9">
        <f t="shared" si="5"/>
        <v>1056.8999860135186</v>
      </c>
      <c r="I346" s="8">
        <v>12.8</v>
      </c>
      <c r="J346" s="8">
        <v>524.35348143306351</v>
      </c>
      <c r="K346" s="8"/>
      <c r="L346" s="8">
        <v>10</v>
      </c>
      <c r="M346" s="8">
        <v>409.6511573695808</v>
      </c>
      <c r="N346" s="8"/>
      <c r="O346" s="8">
        <v>3</v>
      </c>
      <c r="P346" s="8">
        <v>122.89534721087425</v>
      </c>
      <c r="Q346" s="8"/>
      <c r="R346" s="6" t="s">
        <v>0</v>
      </c>
      <c r="S346" s="6" t="s">
        <v>0</v>
      </c>
      <c r="U346" s="6" t="s">
        <v>0</v>
      </c>
      <c r="V346" s="6" t="s">
        <v>0</v>
      </c>
    </row>
    <row r="347" spans="1:22" x14ac:dyDescent="0.3">
      <c r="A347" s="11" t="s">
        <v>385</v>
      </c>
      <c r="B347" s="6" t="s">
        <v>386</v>
      </c>
      <c r="C347" s="7">
        <v>40.965115736958083</v>
      </c>
      <c r="D347" s="6" t="s">
        <v>47</v>
      </c>
      <c r="E347" s="8">
        <v>67.040000000000006</v>
      </c>
      <c r="F347" s="8">
        <v>2746.3013590056698</v>
      </c>
      <c r="G347" s="7"/>
      <c r="H347" s="9">
        <f t="shared" si="5"/>
        <v>2746.3013590056698</v>
      </c>
      <c r="I347" s="8">
        <v>0.64</v>
      </c>
      <c r="J347" s="8">
        <v>26.217674071653175</v>
      </c>
      <c r="K347" s="8"/>
      <c r="L347" s="8">
        <v>36.400000000000006</v>
      </c>
      <c r="M347" s="8">
        <v>1491.1302128252744</v>
      </c>
      <c r="N347" s="8"/>
      <c r="O347" s="8">
        <v>30</v>
      </c>
      <c r="P347" s="8">
        <v>1228.9534721087425</v>
      </c>
      <c r="Q347" s="8"/>
      <c r="R347" s="6" t="s">
        <v>0</v>
      </c>
      <c r="S347" s="6" t="s">
        <v>0</v>
      </c>
      <c r="U347" s="6" t="s">
        <v>0</v>
      </c>
      <c r="V347" s="6" t="s">
        <v>0</v>
      </c>
    </row>
    <row r="348" spans="1:22" x14ac:dyDescent="0.3">
      <c r="A348" s="11" t="s">
        <v>387</v>
      </c>
      <c r="B348" s="6" t="s">
        <v>388</v>
      </c>
      <c r="C348" s="7">
        <v>2069.337773242416</v>
      </c>
      <c r="D348" s="6" t="s">
        <v>65</v>
      </c>
      <c r="E348" s="8">
        <v>4.6725000000000003</v>
      </c>
      <c r="F348" s="8">
        <v>9668.9807454751899</v>
      </c>
      <c r="H348" s="9">
        <f t="shared" si="5"/>
        <v>9668.9807454751899</v>
      </c>
      <c r="I348" s="6" t="s">
        <v>0</v>
      </c>
      <c r="J348" s="6" t="s">
        <v>0</v>
      </c>
      <c r="L348" s="6" t="s">
        <v>0</v>
      </c>
      <c r="M348" s="6" t="s">
        <v>0</v>
      </c>
      <c r="O348" s="8">
        <v>4.6725000000000003</v>
      </c>
      <c r="P348" s="8">
        <v>9668.9807454751899</v>
      </c>
      <c r="Q348" s="8"/>
      <c r="R348" s="6" t="s">
        <v>0</v>
      </c>
      <c r="S348" s="6" t="s">
        <v>0</v>
      </c>
      <c r="U348" s="6" t="s">
        <v>0</v>
      </c>
      <c r="V348" s="6" t="s">
        <v>0</v>
      </c>
    </row>
    <row r="349" spans="1:22" x14ac:dyDescent="0.3">
      <c r="A349" s="11" t="s">
        <v>387</v>
      </c>
      <c r="B349" s="6" t="s">
        <v>389</v>
      </c>
      <c r="C349" s="7">
        <v>970.3</v>
      </c>
      <c r="D349" s="6" t="s">
        <v>65</v>
      </c>
      <c r="E349" s="8">
        <v>4.4734999999999996</v>
      </c>
      <c r="F349" s="8">
        <v>4340.6370499999994</v>
      </c>
      <c r="H349" s="9">
        <f t="shared" si="5"/>
        <v>4340.6370499999994</v>
      </c>
      <c r="I349" s="6" t="s">
        <v>0</v>
      </c>
      <c r="J349" s="6" t="s">
        <v>0</v>
      </c>
      <c r="L349" s="6" t="s">
        <v>0</v>
      </c>
      <c r="M349" s="6" t="s">
        <v>0</v>
      </c>
      <c r="O349" s="8">
        <v>4.4734999999999996</v>
      </c>
      <c r="P349" s="8">
        <v>4340.6370499999994</v>
      </c>
      <c r="Q349" s="8"/>
      <c r="R349" s="6" t="s">
        <v>0</v>
      </c>
      <c r="S349" s="6" t="s">
        <v>0</v>
      </c>
      <c r="U349" s="6" t="s">
        <v>0</v>
      </c>
      <c r="V349" s="6" t="s">
        <v>0</v>
      </c>
    </row>
    <row r="350" spans="1:22" x14ac:dyDescent="0.3">
      <c r="A350" s="11" t="s">
        <v>387</v>
      </c>
      <c r="B350" s="6" t="s">
        <v>390</v>
      </c>
      <c r="C350" s="7">
        <v>219.3</v>
      </c>
      <c r="D350" s="6" t="s">
        <v>65</v>
      </c>
      <c r="E350" s="8">
        <v>10.119999999999999</v>
      </c>
      <c r="F350" s="8">
        <v>2219.3159999999998</v>
      </c>
      <c r="H350" s="9">
        <f t="shared" si="5"/>
        <v>2219.3159999999998</v>
      </c>
      <c r="I350" s="6" t="s">
        <v>0</v>
      </c>
      <c r="J350" s="6" t="s">
        <v>0</v>
      </c>
      <c r="L350" s="6" t="s">
        <v>0</v>
      </c>
      <c r="M350" s="6" t="s">
        <v>0</v>
      </c>
      <c r="O350" s="8">
        <v>10.119999999999999</v>
      </c>
      <c r="P350" s="8">
        <v>2219.3159999999998</v>
      </c>
      <c r="Q350" s="8"/>
      <c r="R350" s="6" t="s">
        <v>0</v>
      </c>
      <c r="S350" s="6" t="s">
        <v>0</v>
      </c>
      <c r="U350" s="6" t="s">
        <v>0</v>
      </c>
      <c r="V350" s="6" t="s">
        <v>0</v>
      </c>
    </row>
    <row r="351" spans="1:22" x14ac:dyDescent="0.3">
      <c r="A351" s="11" t="s">
        <v>387</v>
      </c>
      <c r="B351" s="6" t="s">
        <v>391</v>
      </c>
      <c r="C351" s="7">
        <v>311.10000000000002</v>
      </c>
      <c r="D351" s="6" t="s">
        <v>65</v>
      </c>
      <c r="E351" s="8">
        <v>10.119999999999999</v>
      </c>
      <c r="F351" s="8">
        <v>3148.3320000000003</v>
      </c>
      <c r="H351" s="9">
        <f t="shared" si="5"/>
        <v>3148.3320000000003</v>
      </c>
      <c r="I351" s="6" t="s">
        <v>0</v>
      </c>
      <c r="J351" s="6" t="s">
        <v>0</v>
      </c>
      <c r="L351" s="6" t="s">
        <v>0</v>
      </c>
      <c r="M351" s="6" t="s">
        <v>0</v>
      </c>
      <c r="O351" s="8">
        <v>10.120000000000001</v>
      </c>
      <c r="P351" s="8">
        <v>3148.3320000000003</v>
      </c>
      <c r="Q351" s="8"/>
      <c r="R351" s="6" t="s">
        <v>0</v>
      </c>
      <c r="S351" s="6" t="s">
        <v>0</v>
      </c>
      <c r="U351" s="6" t="s">
        <v>0</v>
      </c>
      <c r="V351" s="6" t="s">
        <v>0</v>
      </c>
    </row>
    <row r="352" spans="1:22" x14ac:dyDescent="0.3">
      <c r="A352" s="11" t="s">
        <v>387</v>
      </c>
      <c r="B352" s="6" t="s">
        <v>392</v>
      </c>
      <c r="C352" s="7">
        <v>5</v>
      </c>
      <c r="D352" s="6" t="s">
        <v>45</v>
      </c>
      <c r="E352" s="8">
        <v>44</v>
      </c>
      <c r="F352" s="8">
        <v>220</v>
      </c>
      <c r="H352" s="9">
        <f t="shared" si="5"/>
        <v>220</v>
      </c>
      <c r="I352" s="6" t="s">
        <v>0</v>
      </c>
      <c r="J352" s="6" t="s">
        <v>0</v>
      </c>
      <c r="L352" s="6" t="s">
        <v>0</v>
      </c>
      <c r="M352" s="6" t="s">
        <v>0</v>
      </c>
      <c r="O352" s="8">
        <v>44</v>
      </c>
      <c r="P352" s="8">
        <v>220</v>
      </c>
      <c r="Q352" s="8"/>
      <c r="R352" s="6" t="s">
        <v>0</v>
      </c>
      <c r="S352" s="6" t="s">
        <v>0</v>
      </c>
      <c r="U352" s="6" t="s">
        <v>0</v>
      </c>
      <c r="V352" s="6" t="s">
        <v>0</v>
      </c>
    </row>
    <row r="353" spans="1:22" x14ac:dyDescent="0.3">
      <c r="A353" s="11" t="s">
        <v>387</v>
      </c>
      <c r="B353" s="6" t="s">
        <v>393</v>
      </c>
      <c r="C353" s="7">
        <v>255</v>
      </c>
      <c r="D353" s="6" t="s">
        <v>65</v>
      </c>
      <c r="E353" s="8">
        <v>14.593499999999999</v>
      </c>
      <c r="F353" s="8">
        <v>3721.3424999999993</v>
      </c>
      <c r="H353" s="9">
        <f t="shared" si="5"/>
        <v>3721.3424999999993</v>
      </c>
      <c r="I353" s="6" t="s">
        <v>0</v>
      </c>
      <c r="J353" s="6" t="s">
        <v>0</v>
      </c>
      <c r="L353" s="6" t="s">
        <v>0</v>
      </c>
      <c r="M353" s="6" t="s">
        <v>0</v>
      </c>
      <c r="O353" s="8">
        <v>14.593499999999997</v>
      </c>
      <c r="P353" s="8">
        <v>3721.3424999999993</v>
      </c>
      <c r="Q353" s="8"/>
      <c r="R353" s="6" t="s">
        <v>0</v>
      </c>
      <c r="S353" s="6" t="s">
        <v>0</v>
      </c>
      <c r="U353" s="6" t="s">
        <v>0</v>
      </c>
      <c r="V353" s="6" t="s">
        <v>0</v>
      </c>
    </row>
    <row r="354" spans="1:22" x14ac:dyDescent="0.3">
      <c r="A354" s="11" t="s">
        <v>387</v>
      </c>
      <c r="B354" s="6" t="s">
        <v>394</v>
      </c>
      <c r="C354" s="7">
        <v>5</v>
      </c>
      <c r="D354" s="6" t="s">
        <v>45</v>
      </c>
      <c r="E354" s="8">
        <v>45</v>
      </c>
      <c r="F354" s="8">
        <v>225</v>
      </c>
      <c r="H354" s="9">
        <f t="shared" si="5"/>
        <v>225</v>
      </c>
      <c r="I354" s="6" t="s">
        <v>0</v>
      </c>
      <c r="J354" s="6" t="s">
        <v>0</v>
      </c>
      <c r="L354" s="8">
        <v>30</v>
      </c>
      <c r="M354" s="8">
        <v>150</v>
      </c>
      <c r="N354" s="8"/>
      <c r="O354" s="8">
        <v>15</v>
      </c>
      <c r="P354" s="8">
        <v>75</v>
      </c>
      <c r="Q354" s="8"/>
      <c r="R354" s="6" t="s">
        <v>0</v>
      </c>
      <c r="S354" s="6" t="s">
        <v>0</v>
      </c>
      <c r="U354" s="6" t="s">
        <v>0</v>
      </c>
      <c r="V354" s="6" t="s">
        <v>0</v>
      </c>
    </row>
    <row r="355" spans="1:22" x14ac:dyDescent="0.3">
      <c r="A355" s="11" t="s">
        <v>387</v>
      </c>
      <c r="B355" s="6" t="s">
        <v>395</v>
      </c>
      <c r="C355" s="7">
        <v>86.699999999999989</v>
      </c>
      <c r="D355" s="6" t="s">
        <v>65</v>
      </c>
      <c r="E355" s="8">
        <v>8.6479999999999997</v>
      </c>
      <c r="F355" s="8">
        <v>749.7815999999998</v>
      </c>
      <c r="H355" s="9">
        <f t="shared" si="5"/>
        <v>749.7815999999998</v>
      </c>
      <c r="I355" s="6" t="s">
        <v>0</v>
      </c>
      <c r="J355" s="6" t="s">
        <v>0</v>
      </c>
      <c r="L355" s="6" t="s">
        <v>0</v>
      </c>
      <c r="M355" s="6" t="s">
        <v>0</v>
      </c>
      <c r="O355" s="8">
        <v>8.6479999999999997</v>
      </c>
      <c r="P355" s="8">
        <v>749.7815999999998</v>
      </c>
      <c r="Q355" s="8"/>
      <c r="R355" s="6" t="s">
        <v>0</v>
      </c>
      <c r="S355" s="6" t="s">
        <v>0</v>
      </c>
      <c r="U355" s="6" t="s">
        <v>0</v>
      </c>
      <c r="V355" s="6" t="s">
        <v>0</v>
      </c>
    </row>
    <row r="356" spans="1:22" x14ac:dyDescent="0.3">
      <c r="A356" s="11" t="s">
        <v>387</v>
      </c>
      <c r="B356" s="6" t="s">
        <v>396</v>
      </c>
      <c r="C356" s="7">
        <v>217.8</v>
      </c>
      <c r="D356" s="6" t="s">
        <v>65</v>
      </c>
      <c r="E356" s="8">
        <v>4.4734999999999996</v>
      </c>
      <c r="F356" s="8">
        <v>974.32830000000001</v>
      </c>
      <c r="H356" s="9">
        <f t="shared" si="5"/>
        <v>974.32830000000001</v>
      </c>
      <c r="I356" s="6" t="s">
        <v>0</v>
      </c>
      <c r="J356" s="6" t="s">
        <v>0</v>
      </c>
      <c r="L356" s="6" t="s">
        <v>0</v>
      </c>
      <c r="M356" s="6" t="s">
        <v>0</v>
      </c>
      <c r="O356" s="8">
        <v>4.4734999999999996</v>
      </c>
      <c r="P356" s="8">
        <v>974.32830000000001</v>
      </c>
      <c r="Q356" s="8"/>
      <c r="R356" s="6" t="s">
        <v>0</v>
      </c>
      <c r="S356" s="6" t="s">
        <v>0</v>
      </c>
      <c r="U356" s="6" t="s">
        <v>0</v>
      </c>
      <c r="V356" s="6" t="s">
        <v>0</v>
      </c>
    </row>
    <row r="357" spans="1:22" x14ac:dyDescent="0.3">
      <c r="A357" s="11" t="s">
        <v>397</v>
      </c>
      <c r="B357" s="6" t="s">
        <v>398</v>
      </c>
      <c r="C357" s="7">
        <v>153.15846758149141</v>
      </c>
      <c r="D357" s="6" t="s">
        <v>47</v>
      </c>
      <c r="E357" s="8">
        <v>40</v>
      </c>
      <c r="F357" s="8">
        <v>6126.3387032596565</v>
      </c>
      <c r="H357" s="9">
        <f t="shared" si="5"/>
        <v>6126.3387032596565</v>
      </c>
      <c r="I357" s="6" t="s">
        <v>0</v>
      </c>
      <c r="J357" s="6" t="s">
        <v>0</v>
      </c>
      <c r="L357" s="6" t="s">
        <v>0</v>
      </c>
      <c r="M357" s="6" t="s">
        <v>0</v>
      </c>
      <c r="O357" s="8">
        <v>40</v>
      </c>
      <c r="P357" s="8">
        <v>6126.3387032596565</v>
      </c>
      <c r="Q357" s="8"/>
      <c r="R357" s="6" t="s">
        <v>0</v>
      </c>
      <c r="S357" s="6" t="s">
        <v>0</v>
      </c>
      <c r="U357" s="6" t="s">
        <v>0</v>
      </c>
      <c r="V357" s="6" t="s">
        <v>0</v>
      </c>
    </row>
    <row r="358" spans="1:22" x14ac:dyDescent="0.3">
      <c r="A358" s="11" t="s">
        <v>397</v>
      </c>
      <c r="B358" s="6" t="s">
        <v>399</v>
      </c>
      <c r="C358" s="7">
        <v>15.015510329120531</v>
      </c>
      <c r="D358" s="6" t="s">
        <v>47</v>
      </c>
      <c r="E358" s="8">
        <v>20</v>
      </c>
      <c r="F358" s="8">
        <v>300.31020658241061</v>
      </c>
      <c r="H358" s="9">
        <f t="shared" si="5"/>
        <v>300.31020658241061</v>
      </c>
      <c r="I358" s="6" t="s">
        <v>0</v>
      </c>
      <c r="J358" s="6" t="s">
        <v>0</v>
      </c>
      <c r="L358" s="6" t="s">
        <v>0</v>
      </c>
      <c r="M358" s="6" t="s">
        <v>0</v>
      </c>
      <c r="O358" s="8">
        <v>20</v>
      </c>
      <c r="P358" s="8">
        <v>300.31020658241061</v>
      </c>
      <c r="Q358" s="8"/>
      <c r="R358" s="6" t="s">
        <v>0</v>
      </c>
      <c r="S358" s="6" t="s">
        <v>0</v>
      </c>
      <c r="U358" s="6" t="s">
        <v>0</v>
      </c>
      <c r="V358" s="6" t="s">
        <v>0</v>
      </c>
    </row>
    <row r="359" spans="1:22" x14ac:dyDescent="0.3">
      <c r="A359" s="11" t="s">
        <v>400</v>
      </c>
      <c r="B359" s="6" t="s">
        <v>401</v>
      </c>
      <c r="C359" s="7">
        <v>780.2</v>
      </c>
      <c r="D359" s="6" t="s">
        <v>65</v>
      </c>
      <c r="E359" s="8">
        <v>12.195</v>
      </c>
      <c r="F359" s="8">
        <v>9514.5390000000007</v>
      </c>
      <c r="H359" s="9">
        <f t="shared" si="5"/>
        <v>9514.5390000000007</v>
      </c>
      <c r="I359" s="6" t="s">
        <v>0</v>
      </c>
      <c r="J359" s="6" t="s">
        <v>0</v>
      </c>
      <c r="L359" s="6" t="s">
        <v>0</v>
      </c>
      <c r="M359" s="6" t="s">
        <v>0</v>
      </c>
      <c r="O359" s="8">
        <v>12.195</v>
      </c>
      <c r="P359" s="8">
        <v>9514.5390000000007</v>
      </c>
      <c r="Q359" s="8"/>
      <c r="R359" s="6" t="s">
        <v>0</v>
      </c>
      <c r="S359" s="6" t="s">
        <v>0</v>
      </c>
      <c r="U359" s="6" t="s">
        <v>0</v>
      </c>
      <c r="V359" s="6" t="s">
        <v>0</v>
      </c>
    </row>
    <row r="360" spans="1:22" x14ac:dyDescent="0.3">
      <c r="A360" s="11" t="s">
        <v>400</v>
      </c>
      <c r="B360" s="6" t="s">
        <v>402</v>
      </c>
      <c r="C360" s="7">
        <v>190.3</v>
      </c>
      <c r="D360" s="6" t="s">
        <v>65</v>
      </c>
      <c r="E360" s="8">
        <v>28.279799999999998</v>
      </c>
      <c r="F360" s="8">
        <v>5381.6459399999994</v>
      </c>
      <c r="G360" s="7"/>
      <c r="H360" s="9">
        <f t="shared" si="5"/>
        <v>5381.6459399999994</v>
      </c>
      <c r="I360" s="8">
        <v>3.8000000000000003</v>
      </c>
      <c r="J360" s="8">
        <v>723.1400000000001</v>
      </c>
      <c r="K360" s="8"/>
      <c r="L360" s="8">
        <v>2.7448000000000001</v>
      </c>
      <c r="M360" s="8">
        <v>522.33544000000006</v>
      </c>
      <c r="N360" s="8"/>
      <c r="O360" s="8">
        <v>21.734999999999996</v>
      </c>
      <c r="P360" s="8">
        <v>4136.1704999999993</v>
      </c>
      <c r="Q360" s="8"/>
      <c r="R360" s="6" t="s">
        <v>0</v>
      </c>
      <c r="S360" s="6" t="s">
        <v>0</v>
      </c>
      <c r="U360" s="6" t="s">
        <v>0</v>
      </c>
      <c r="V360" s="6" t="s">
        <v>0</v>
      </c>
    </row>
    <row r="361" spans="1:22" x14ac:dyDescent="0.3">
      <c r="A361" s="11" t="s">
        <v>400</v>
      </c>
      <c r="B361" s="6" t="s">
        <v>403</v>
      </c>
      <c r="C361" s="7">
        <v>28.42</v>
      </c>
      <c r="D361" s="6" t="s">
        <v>65</v>
      </c>
      <c r="E361" s="8">
        <v>13.4</v>
      </c>
      <c r="F361" s="8">
        <v>380.82800000000003</v>
      </c>
      <c r="H361" s="9">
        <f t="shared" si="5"/>
        <v>380.82800000000003</v>
      </c>
      <c r="I361" s="6" t="s">
        <v>0</v>
      </c>
      <c r="J361" s="6" t="s">
        <v>0</v>
      </c>
      <c r="L361" s="6" t="s">
        <v>0</v>
      </c>
      <c r="M361" s="6" t="s">
        <v>0</v>
      </c>
      <c r="O361" s="8">
        <v>13.4</v>
      </c>
      <c r="P361" s="8">
        <v>380.82800000000003</v>
      </c>
      <c r="Q361" s="8"/>
      <c r="R361" s="6" t="s">
        <v>0</v>
      </c>
      <c r="S361" s="6" t="s">
        <v>0</v>
      </c>
      <c r="U361" s="6" t="s">
        <v>0</v>
      </c>
      <c r="V361" s="6" t="s">
        <v>0</v>
      </c>
    </row>
    <row r="362" spans="1:22" x14ac:dyDescent="0.3">
      <c r="A362" s="11" t="s">
        <v>400</v>
      </c>
      <c r="B362" s="6" t="s">
        <v>404</v>
      </c>
      <c r="C362" s="7">
        <v>20</v>
      </c>
      <c r="D362" s="6" t="s">
        <v>65</v>
      </c>
      <c r="E362" s="8">
        <v>19.45</v>
      </c>
      <c r="F362" s="8">
        <v>389</v>
      </c>
      <c r="H362" s="9">
        <f t="shared" si="5"/>
        <v>389</v>
      </c>
      <c r="I362" s="6" t="s">
        <v>0</v>
      </c>
      <c r="J362" s="6" t="s">
        <v>0</v>
      </c>
      <c r="L362" s="6" t="s">
        <v>0</v>
      </c>
      <c r="M362" s="6" t="s">
        <v>0</v>
      </c>
      <c r="O362" s="8">
        <v>19.45</v>
      </c>
      <c r="P362" s="8">
        <v>389</v>
      </c>
      <c r="Q362" s="8"/>
      <c r="R362" s="6" t="s">
        <v>0</v>
      </c>
      <c r="S362" s="6" t="s">
        <v>0</v>
      </c>
      <c r="U362" s="6" t="s">
        <v>0</v>
      </c>
      <c r="V362" s="6" t="s">
        <v>0</v>
      </c>
    </row>
    <row r="363" spans="1:22" x14ac:dyDescent="0.3">
      <c r="A363" s="11" t="s">
        <v>400</v>
      </c>
      <c r="B363" s="6" t="s">
        <v>405</v>
      </c>
      <c r="C363" s="7">
        <v>23.6</v>
      </c>
      <c r="D363" s="6" t="s">
        <v>65</v>
      </c>
      <c r="E363" s="8">
        <v>13.4</v>
      </c>
      <c r="F363" s="8">
        <v>316.24</v>
      </c>
      <c r="H363" s="9">
        <f t="shared" si="5"/>
        <v>316.24</v>
      </c>
      <c r="I363" s="6" t="s">
        <v>0</v>
      </c>
      <c r="J363" s="6" t="s">
        <v>0</v>
      </c>
      <c r="L363" s="6" t="s">
        <v>0</v>
      </c>
      <c r="M363" s="6" t="s">
        <v>0</v>
      </c>
      <c r="O363" s="8">
        <v>13.4</v>
      </c>
      <c r="P363" s="8">
        <v>316.24</v>
      </c>
      <c r="Q363" s="8"/>
      <c r="R363" s="6" t="s">
        <v>0</v>
      </c>
      <c r="S363" s="6" t="s">
        <v>0</v>
      </c>
      <c r="U363" s="6" t="s">
        <v>0</v>
      </c>
      <c r="V363" s="6" t="s">
        <v>0</v>
      </c>
    </row>
    <row r="364" spans="1:22" x14ac:dyDescent="0.3">
      <c r="A364" s="11" t="s">
        <v>400</v>
      </c>
      <c r="B364" s="6" t="s">
        <v>406</v>
      </c>
      <c r="C364" s="7">
        <v>5</v>
      </c>
      <c r="D364" s="6" t="s">
        <v>65</v>
      </c>
      <c r="E364" s="8">
        <v>39.9</v>
      </c>
      <c r="F364" s="8">
        <v>199.5</v>
      </c>
      <c r="H364" s="9">
        <f t="shared" si="5"/>
        <v>199.5</v>
      </c>
      <c r="I364" s="6" t="s">
        <v>0</v>
      </c>
      <c r="J364" s="6" t="s">
        <v>0</v>
      </c>
      <c r="L364" s="6" t="s">
        <v>0</v>
      </c>
      <c r="M364" s="6" t="s">
        <v>0</v>
      </c>
      <c r="O364" s="8">
        <v>39.9</v>
      </c>
      <c r="P364" s="8">
        <v>199.5</v>
      </c>
      <c r="Q364" s="8"/>
      <c r="R364" s="6" t="s">
        <v>0</v>
      </c>
      <c r="S364" s="6" t="s">
        <v>0</v>
      </c>
      <c r="U364" s="6" t="s">
        <v>0</v>
      </c>
      <c r="V364" s="6" t="s">
        <v>0</v>
      </c>
    </row>
    <row r="365" spans="1:22" x14ac:dyDescent="0.3">
      <c r="A365" s="11" t="s">
        <v>400</v>
      </c>
      <c r="B365" s="6" t="s">
        <v>402</v>
      </c>
      <c r="C365" s="7">
        <v>0.82</v>
      </c>
      <c r="D365" s="6" t="s">
        <v>65</v>
      </c>
      <c r="E365" s="8">
        <v>28.312299999999997</v>
      </c>
      <c r="F365" s="8">
        <v>23.216085999999997</v>
      </c>
      <c r="G365" s="7"/>
      <c r="H365" s="9">
        <f t="shared" si="5"/>
        <v>23.216085999999997</v>
      </c>
      <c r="I365" s="8">
        <v>3.8000000000000003</v>
      </c>
      <c r="J365" s="8">
        <v>3.1160000000000001</v>
      </c>
      <c r="K365" s="8"/>
      <c r="L365" s="8">
        <v>2.7448000000000001</v>
      </c>
      <c r="M365" s="8">
        <v>2.2507359999999998</v>
      </c>
      <c r="N365" s="8"/>
      <c r="O365" s="8">
        <v>21.767499999999998</v>
      </c>
      <c r="P365" s="8">
        <v>17.849349999999998</v>
      </c>
      <c r="Q365" s="8"/>
      <c r="R365" s="6" t="s">
        <v>0</v>
      </c>
      <c r="S365" s="6" t="s">
        <v>0</v>
      </c>
      <c r="U365" s="6" t="s">
        <v>0</v>
      </c>
      <c r="V365" s="6" t="s">
        <v>0</v>
      </c>
    </row>
    <row r="366" spans="1:22" x14ac:dyDescent="0.3">
      <c r="A366" s="11" t="s">
        <v>400</v>
      </c>
      <c r="B366" s="6" t="s">
        <v>407</v>
      </c>
      <c r="C366" s="7">
        <v>184.8</v>
      </c>
      <c r="D366" s="6" t="s">
        <v>65</v>
      </c>
      <c r="E366" s="8">
        <v>13.420999999999999</v>
      </c>
      <c r="F366" s="8">
        <v>2480.2008000000001</v>
      </c>
      <c r="H366" s="9">
        <f t="shared" si="5"/>
        <v>2480.2008000000001</v>
      </c>
      <c r="I366" s="6" t="s">
        <v>0</v>
      </c>
      <c r="J366" s="6" t="s">
        <v>0</v>
      </c>
      <c r="L366" s="6" t="s">
        <v>0</v>
      </c>
      <c r="M366" s="6" t="s">
        <v>0</v>
      </c>
      <c r="O366" s="8">
        <v>13.420999999999999</v>
      </c>
      <c r="P366" s="8">
        <v>2480.2008000000001</v>
      </c>
      <c r="Q366" s="8"/>
      <c r="R366" s="6" t="s">
        <v>0</v>
      </c>
      <c r="S366" s="6" t="s">
        <v>0</v>
      </c>
      <c r="U366" s="6" t="s">
        <v>0</v>
      </c>
      <c r="V366" s="6" t="s">
        <v>0</v>
      </c>
    </row>
    <row r="367" spans="1:22" x14ac:dyDescent="0.3">
      <c r="A367" s="11" t="s">
        <v>400</v>
      </c>
      <c r="B367" s="6" t="s">
        <v>408</v>
      </c>
      <c r="C367" s="7">
        <v>33</v>
      </c>
      <c r="D367" s="6" t="s">
        <v>45</v>
      </c>
      <c r="E367" s="8">
        <v>36.54</v>
      </c>
      <c r="F367" s="8">
        <v>1205.82</v>
      </c>
      <c r="H367" s="9">
        <f t="shared" si="5"/>
        <v>1205.82</v>
      </c>
      <c r="I367" s="6" t="s">
        <v>0</v>
      </c>
      <c r="J367" s="6" t="s">
        <v>0</v>
      </c>
      <c r="L367" s="6" t="s">
        <v>0</v>
      </c>
      <c r="M367" s="6" t="s">
        <v>0</v>
      </c>
      <c r="O367" s="8">
        <v>36.54</v>
      </c>
      <c r="P367" s="8">
        <v>1205.82</v>
      </c>
      <c r="Q367" s="8"/>
      <c r="R367" s="6" t="s">
        <v>0</v>
      </c>
      <c r="S367" s="6" t="s">
        <v>0</v>
      </c>
      <c r="U367" s="6" t="s">
        <v>0</v>
      </c>
      <c r="V367" s="6" t="s">
        <v>0</v>
      </c>
    </row>
    <row r="368" spans="1:22" x14ac:dyDescent="0.3">
      <c r="A368" s="11" t="s">
        <v>400</v>
      </c>
      <c r="B368" s="6" t="s">
        <v>409</v>
      </c>
      <c r="C368" s="7">
        <v>1</v>
      </c>
      <c r="D368" s="6" t="s">
        <v>45</v>
      </c>
      <c r="E368" s="8">
        <v>150</v>
      </c>
      <c r="F368" s="8">
        <v>150</v>
      </c>
      <c r="H368" s="9">
        <f t="shared" si="5"/>
        <v>150</v>
      </c>
      <c r="I368" s="6" t="s">
        <v>0</v>
      </c>
      <c r="J368" s="6" t="s">
        <v>0</v>
      </c>
      <c r="L368" s="6" t="s">
        <v>0</v>
      </c>
      <c r="M368" s="6" t="s">
        <v>0</v>
      </c>
      <c r="O368" s="8">
        <v>150</v>
      </c>
      <c r="P368" s="8">
        <v>150</v>
      </c>
      <c r="Q368" s="8"/>
      <c r="R368" s="6" t="s">
        <v>0</v>
      </c>
      <c r="S368" s="6" t="s">
        <v>0</v>
      </c>
      <c r="U368" s="6" t="s">
        <v>0</v>
      </c>
      <c r="V368" s="6" t="s">
        <v>0</v>
      </c>
    </row>
    <row r="369" spans="1:22" x14ac:dyDescent="0.3">
      <c r="A369" s="11" t="s">
        <v>400</v>
      </c>
      <c r="B369" s="6" t="s">
        <v>328</v>
      </c>
      <c r="C369" s="7">
        <v>2</v>
      </c>
      <c r="D369" s="6" t="s">
        <v>65</v>
      </c>
      <c r="E369" s="8">
        <v>39.9</v>
      </c>
      <c r="F369" s="8">
        <v>79.8</v>
      </c>
      <c r="H369" s="9">
        <f t="shared" si="5"/>
        <v>79.8</v>
      </c>
      <c r="I369" s="6" t="s">
        <v>0</v>
      </c>
      <c r="J369" s="6" t="s">
        <v>0</v>
      </c>
      <c r="L369" s="6" t="s">
        <v>0</v>
      </c>
      <c r="M369" s="6" t="s">
        <v>0</v>
      </c>
      <c r="O369" s="8">
        <v>39.9</v>
      </c>
      <c r="P369" s="8">
        <v>79.8</v>
      </c>
      <c r="Q369" s="8"/>
      <c r="R369" s="6" t="s">
        <v>0</v>
      </c>
      <c r="S369" s="6" t="s">
        <v>0</v>
      </c>
      <c r="U369" s="6" t="s">
        <v>0</v>
      </c>
      <c r="V369" s="6" t="s">
        <v>0</v>
      </c>
    </row>
    <row r="370" spans="1:22" x14ac:dyDescent="0.3">
      <c r="A370" s="11" t="s">
        <v>410</v>
      </c>
      <c r="B370" s="6" t="s">
        <v>411</v>
      </c>
      <c r="C370" s="7">
        <v>189.40884690604511</v>
      </c>
      <c r="D370" s="6" t="s">
        <v>47</v>
      </c>
      <c r="E370" s="8">
        <v>132.98439999999999</v>
      </c>
      <c r="F370" s="8">
        <v>25188.421860492264</v>
      </c>
      <c r="H370" s="9">
        <f t="shared" si="5"/>
        <v>25188.421860492264</v>
      </c>
      <c r="I370" s="6" t="s">
        <v>0</v>
      </c>
      <c r="J370" s="6" t="s">
        <v>0</v>
      </c>
      <c r="L370" s="8">
        <v>61.584399999999995</v>
      </c>
      <c r="M370" s="8">
        <v>11664.630191400644</v>
      </c>
      <c r="N370" s="8"/>
      <c r="O370" s="8">
        <v>71.400000000000006</v>
      </c>
      <c r="P370" s="8">
        <v>13523.791669091623</v>
      </c>
      <c r="Q370" s="8"/>
      <c r="R370" s="6" t="s">
        <v>0</v>
      </c>
      <c r="S370" s="6" t="s">
        <v>0</v>
      </c>
      <c r="U370" s="6" t="s">
        <v>0</v>
      </c>
      <c r="V370" s="6" t="s">
        <v>0</v>
      </c>
    </row>
    <row r="371" spans="1:22" x14ac:dyDescent="0.3">
      <c r="A371" s="11" t="s">
        <v>410</v>
      </c>
      <c r="B371" s="6" t="s">
        <v>412</v>
      </c>
      <c r="C371" s="7">
        <v>1</v>
      </c>
      <c r="D371" s="6" t="s">
        <v>4</v>
      </c>
      <c r="E371" s="8">
        <v>170</v>
      </c>
      <c r="F371" s="8">
        <v>170</v>
      </c>
      <c r="H371" s="9">
        <f t="shared" si="5"/>
        <v>170</v>
      </c>
      <c r="I371" s="6" t="s">
        <v>0</v>
      </c>
      <c r="J371" s="6" t="s">
        <v>0</v>
      </c>
      <c r="L371" s="6" t="s">
        <v>0</v>
      </c>
      <c r="M371" s="6" t="s">
        <v>0</v>
      </c>
      <c r="O371" s="6" t="s">
        <v>0</v>
      </c>
      <c r="P371" s="6" t="s">
        <v>0</v>
      </c>
      <c r="R371" s="8">
        <v>170</v>
      </c>
      <c r="S371" s="8">
        <v>170</v>
      </c>
      <c r="T371" s="8"/>
      <c r="U371" s="6" t="s">
        <v>0</v>
      </c>
      <c r="V371" s="6" t="s">
        <v>0</v>
      </c>
    </row>
    <row r="372" spans="1:22" x14ac:dyDescent="0.3">
      <c r="A372" s="11" t="s">
        <v>410</v>
      </c>
      <c r="B372" s="6" t="s">
        <v>413</v>
      </c>
      <c r="C372" s="7">
        <v>20</v>
      </c>
      <c r="D372" s="6" t="s">
        <v>65</v>
      </c>
      <c r="E372" s="8">
        <v>55.220000000000006</v>
      </c>
      <c r="F372" s="8">
        <v>1104.4000000000001</v>
      </c>
      <c r="H372" s="9">
        <f t="shared" si="5"/>
        <v>1104.4000000000001</v>
      </c>
      <c r="I372" s="6" t="s">
        <v>0</v>
      </c>
      <c r="J372" s="6" t="s">
        <v>0</v>
      </c>
      <c r="L372" s="8">
        <v>55.220000000000006</v>
      </c>
      <c r="M372" s="8">
        <v>1104.4000000000001</v>
      </c>
      <c r="N372" s="8"/>
      <c r="O372" s="6" t="s">
        <v>0</v>
      </c>
      <c r="P372" s="6" t="s">
        <v>0</v>
      </c>
      <c r="R372" s="6" t="s">
        <v>0</v>
      </c>
      <c r="S372" s="6" t="s">
        <v>0</v>
      </c>
      <c r="U372" s="6" t="s">
        <v>0</v>
      </c>
      <c r="V372" s="6" t="s">
        <v>0</v>
      </c>
    </row>
    <row r="373" spans="1:22" x14ac:dyDescent="0.3">
      <c r="A373" s="11" t="s">
        <v>414</v>
      </c>
      <c r="B373" s="6" t="s">
        <v>415</v>
      </c>
      <c r="C373" s="7">
        <v>1487</v>
      </c>
      <c r="D373" s="6" t="s">
        <v>47</v>
      </c>
      <c r="E373" s="8">
        <v>62.205783456624083</v>
      </c>
      <c r="F373" s="8">
        <v>92500.000000000015</v>
      </c>
      <c r="H373" s="9">
        <f t="shared" si="5"/>
        <v>92500.000000000015</v>
      </c>
      <c r="I373" s="6" t="s">
        <v>0</v>
      </c>
      <c r="J373" s="6" t="s">
        <v>0</v>
      </c>
      <c r="L373" s="6" t="s">
        <v>0</v>
      </c>
      <c r="M373" s="6" t="s">
        <v>0</v>
      </c>
      <c r="O373" s="8">
        <v>62.205783456624083</v>
      </c>
      <c r="P373" s="8">
        <v>92500.000000000015</v>
      </c>
      <c r="Q373" s="8"/>
      <c r="R373" s="6" t="s">
        <v>0</v>
      </c>
      <c r="S373" s="6" t="s">
        <v>0</v>
      </c>
      <c r="U373" s="6" t="s">
        <v>0</v>
      </c>
      <c r="V373" s="6" t="s">
        <v>0</v>
      </c>
    </row>
    <row r="374" spans="1:22" x14ac:dyDescent="0.3">
      <c r="A374" s="11" t="s">
        <v>416</v>
      </c>
      <c r="B374" s="6" t="s">
        <v>417</v>
      </c>
      <c r="C374" s="7">
        <v>39.4</v>
      </c>
      <c r="D374" s="6" t="s">
        <v>47</v>
      </c>
      <c r="E374" s="8">
        <v>2.2991999999999999</v>
      </c>
      <c r="F374" s="8">
        <v>90.58847999999999</v>
      </c>
      <c r="H374" s="9">
        <f t="shared" si="5"/>
        <v>90.58847999999999</v>
      </c>
      <c r="I374" s="6" t="s">
        <v>0</v>
      </c>
      <c r="J374" s="6" t="s">
        <v>0</v>
      </c>
      <c r="L374" s="8">
        <v>2.2991999999999999</v>
      </c>
      <c r="M374" s="8">
        <v>90.58847999999999</v>
      </c>
      <c r="N374" s="8"/>
      <c r="O374" s="6" t="s">
        <v>0</v>
      </c>
      <c r="P374" s="6" t="s">
        <v>0</v>
      </c>
      <c r="R374" s="6" t="s">
        <v>0</v>
      </c>
      <c r="S374" s="6" t="s">
        <v>0</v>
      </c>
      <c r="U374" s="6" t="s">
        <v>0</v>
      </c>
      <c r="V374" s="6" t="s">
        <v>0</v>
      </c>
    </row>
    <row r="375" spans="1:22" x14ac:dyDescent="0.3">
      <c r="A375" s="11" t="s">
        <v>416</v>
      </c>
      <c r="B375" s="6" t="s">
        <v>418</v>
      </c>
      <c r="C375" s="7">
        <v>39.4</v>
      </c>
      <c r="D375" s="6" t="s">
        <v>47</v>
      </c>
      <c r="E375" s="8">
        <v>4.6900000000000004</v>
      </c>
      <c r="F375" s="8">
        <v>184.786</v>
      </c>
      <c r="G375" s="7"/>
      <c r="H375" s="9">
        <f t="shared" si="5"/>
        <v>184.786</v>
      </c>
      <c r="I375" s="8">
        <v>3.9899999999999998</v>
      </c>
      <c r="J375" s="8">
        <v>157.20599999999999</v>
      </c>
      <c r="K375" s="8"/>
      <c r="L375" s="8">
        <v>0.7</v>
      </c>
      <c r="M375" s="8">
        <v>27.58</v>
      </c>
      <c r="N375" s="8"/>
      <c r="O375" s="6" t="s">
        <v>0</v>
      </c>
      <c r="P375" s="6" t="s">
        <v>0</v>
      </c>
      <c r="R375" s="6" t="s">
        <v>0</v>
      </c>
      <c r="S375" s="6" t="s">
        <v>0</v>
      </c>
      <c r="U375" s="6" t="s">
        <v>0</v>
      </c>
      <c r="V375" s="6" t="s">
        <v>0</v>
      </c>
    </row>
    <row r="376" spans="1:22" x14ac:dyDescent="0.3">
      <c r="A376" s="11" t="s">
        <v>416</v>
      </c>
      <c r="B376" s="6" t="s">
        <v>419</v>
      </c>
      <c r="C376" s="7">
        <v>39.4</v>
      </c>
      <c r="D376" s="6" t="s">
        <v>47</v>
      </c>
      <c r="E376" s="8">
        <v>30.585600000000007</v>
      </c>
      <c r="F376" s="8">
        <v>1205.0726400000001</v>
      </c>
      <c r="G376" s="7"/>
      <c r="H376" s="9">
        <f t="shared" si="5"/>
        <v>1205.0726400000001</v>
      </c>
      <c r="I376" s="8">
        <v>17.100000000000001</v>
      </c>
      <c r="J376" s="8">
        <v>673.74</v>
      </c>
      <c r="K376" s="8"/>
      <c r="L376" s="8">
        <v>13.485600000000003</v>
      </c>
      <c r="M376" s="8">
        <v>531.33264000000008</v>
      </c>
      <c r="N376" s="8"/>
      <c r="O376" s="6" t="s">
        <v>0</v>
      </c>
      <c r="P376" s="6" t="s">
        <v>0</v>
      </c>
      <c r="R376" s="6" t="s">
        <v>0</v>
      </c>
      <c r="S376" s="6" t="s">
        <v>0</v>
      </c>
      <c r="U376" s="6" t="s">
        <v>0</v>
      </c>
      <c r="V376" s="6" t="s">
        <v>0</v>
      </c>
    </row>
    <row r="377" spans="1:22" x14ac:dyDescent="0.3">
      <c r="A377" s="11" t="s">
        <v>416</v>
      </c>
      <c r="B377" s="6" t="s">
        <v>420</v>
      </c>
      <c r="C377" s="7">
        <v>16.008294720971211</v>
      </c>
      <c r="D377" s="6" t="s">
        <v>47</v>
      </c>
      <c r="E377" s="8">
        <v>53.330000000000005</v>
      </c>
      <c r="F377" s="8">
        <v>853.72235746939464</v>
      </c>
      <c r="G377" s="7"/>
      <c r="H377" s="9">
        <f t="shared" si="5"/>
        <v>853.72235746939464</v>
      </c>
      <c r="I377" s="8">
        <v>15.96</v>
      </c>
      <c r="J377" s="8">
        <v>255.49238374670054</v>
      </c>
      <c r="K377" s="8"/>
      <c r="L377" s="8">
        <v>37.369999999999997</v>
      </c>
      <c r="M377" s="8">
        <v>598.22997372269413</v>
      </c>
      <c r="N377" s="8"/>
      <c r="O377" s="6" t="s">
        <v>0</v>
      </c>
      <c r="P377" s="6" t="s">
        <v>0</v>
      </c>
      <c r="R377" s="6" t="s">
        <v>0</v>
      </c>
      <c r="S377" s="6" t="s">
        <v>0</v>
      </c>
      <c r="U377" s="6" t="s">
        <v>0</v>
      </c>
      <c r="V377" s="6" t="s">
        <v>0</v>
      </c>
    </row>
    <row r="378" spans="1:22" x14ac:dyDescent="0.3">
      <c r="A378" s="11" t="s">
        <v>416</v>
      </c>
      <c r="B378" s="6" t="s">
        <v>421</v>
      </c>
      <c r="C378" s="7">
        <v>1487</v>
      </c>
      <c r="D378" s="6" t="s">
        <v>47</v>
      </c>
      <c r="E378" s="8">
        <v>11.627499999999998</v>
      </c>
      <c r="F378" s="8">
        <v>17290.092499999999</v>
      </c>
      <c r="G378" s="7"/>
      <c r="H378" s="9">
        <f t="shared" si="5"/>
        <v>17290.092499999999</v>
      </c>
      <c r="I378" s="8">
        <v>8.36</v>
      </c>
      <c r="J378" s="8">
        <v>12431.32</v>
      </c>
      <c r="K378" s="8"/>
      <c r="L378" s="8">
        <v>3.2674999999999996</v>
      </c>
      <c r="M378" s="8">
        <v>4858.7724999999991</v>
      </c>
      <c r="N378" s="8"/>
      <c r="O378" s="6" t="s">
        <v>0</v>
      </c>
      <c r="P378" s="6" t="s">
        <v>0</v>
      </c>
      <c r="R378" s="6" t="s">
        <v>0</v>
      </c>
      <c r="S378" s="6" t="s">
        <v>0</v>
      </c>
      <c r="U378" s="6" t="s">
        <v>0</v>
      </c>
      <c r="V378" s="6" t="s">
        <v>0</v>
      </c>
    </row>
    <row r="379" spans="1:22" x14ac:dyDescent="0.3">
      <c r="A379" s="11" t="s">
        <v>416</v>
      </c>
      <c r="B379" s="6" t="s">
        <v>422</v>
      </c>
      <c r="C379" s="7">
        <v>1487</v>
      </c>
      <c r="D379" s="6" t="s">
        <v>47</v>
      </c>
      <c r="E379" s="8">
        <v>22.565999999999999</v>
      </c>
      <c r="F379" s="8">
        <v>33555.642</v>
      </c>
      <c r="H379" s="9">
        <f t="shared" si="5"/>
        <v>33555.642</v>
      </c>
      <c r="I379" s="6" t="s">
        <v>0</v>
      </c>
      <c r="J379" s="6" t="s">
        <v>0</v>
      </c>
      <c r="L379" s="8">
        <v>22.565999999999999</v>
      </c>
      <c r="M379" s="8">
        <v>33555.642</v>
      </c>
      <c r="N379" s="8"/>
      <c r="O379" s="6" t="s">
        <v>0</v>
      </c>
      <c r="P379" s="6" t="s">
        <v>0</v>
      </c>
      <c r="R379" s="6" t="s">
        <v>0</v>
      </c>
      <c r="S379" s="6" t="s">
        <v>0</v>
      </c>
      <c r="U379" s="6" t="s">
        <v>0</v>
      </c>
      <c r="V379" s="6" t="s">
        <v>0</v>
      </c>
    </row>
    <row r="380" spans="1:22" x14ac:dyDescent="0.3">
      <c r="A380" s="11" t="s">
        <v>416</v>
      </c>
      <c r="B380" s="6" t="s">
        <v>423</v>
      </c>
      <c r="C380" s="7">
        <v>1487</v>
      </c>
      <c r="D380" s="6" t="s">
        <v>47</v>
      </c>
      <c r="E380" s="8">
        <v>6.08</v>
      </c>
      <c r="F380" s="8">
        <v>9040.9600000000009</v>
      </c>
      <c r="G380" s="7"/>
      <c r="H380" s="9">
        <f t="shared" si="5"/>
        <v>9040.9600000000009</v>
      </c>
      <c r="I380" s="8">
        <v>6.080000000000001</v>
      </c>
      <c r="J380" s="8">
        <v>9040.9600000000009</v>
      </c>
      <c r="K380" s="8"/>
      <c r="L380" s="6" t="s">
        <v>0</v>
      </c>
      <c r="M380" s="6" t="s">
        <v>0</v>
      </c>
      <c r="O380" s="6" t="s">
        <v>0</v>
      </c>
      <c r="P380" s="6" t="s">
        <v>0</v>
      </c>
      <c r="R380" s="6" t="s">
        <v>0</v>
      </c>
      <c r="S380" s="6" t="s">
        <v>0</v>
      </c>
      <c r="U380" s="6" t="s">
        <v>0</v>
      </c>
      <c r="V380" s="6" t="s">
        <v>0</v>
      </c>
    </row>
    <row r="381" spans="1:22" x14ac:dyDescent="0.3">
      <c r="A381" s="11" t="s">
        <v>416</v>
      </c>
      <c r="B381" s="6" t="s">
        <v>424</v>
      </c>
      <c r="C381" s="7">
        <v>40.799999999999997</v>
      </c>
      <c r="D381" s="6" t="s">
        <v>47</v>
      </c>
      <c r="E381" s="8">
        <v>53.330000000000005</v>
      </c>
      <c r="F381" s="8">
        <v>2175.864</v>
      </c>
      <c r="G381" s="7"/>
      <c r="H381" s="9">
        <f t="shared" si="5"/>
        <v>2175.864</v>
      </c>
      <c r="I381" s="8">
        <v>15.96</v>
      </c>
      <c r="J381" s="8">
        <v>651.16800000000001</v>
      </c>
      <c r="K381" s="8"/>
      <c r="L381" s="8">
        <v>37.369999999999997</v>
      </c>
      <c r="M381" s="8">
        <v>1524.6959999999999</v>
      </c>
      <c r="N381" s="8"/>
      <c r="O381" s="6" t="s">
        <v>0</v>
      </c>
      <c r="P381" s="6" t="s">
        <v>0</v>
      </c>
      <c r="R381" s="6" t="s">
        <v>0</v>
      </c>
      <c r="S381" s="6" t="s">
        <v>0</v>
      </c>
      <c r="U381" s="6" t="s">
        <v>0</v>
      </c>
      <c r="V381" s="6" t="s">
        <v>0</v>
      </c>
    </row>
    <row r="382" spans="1:22" x14ac:dyDescent="0.3">
      <c r="A382" s="11" t="s">
        <v>425</v>
      </c>
      <c r="B382" s="6" t="s">
        <v>426</v>
      </c>
      <c r="C382" s="7">
        <v>51.6</v>
      </c>
      <c r="D382" s="6" t="s">
        <v>65</v>
      </c>
      <c r="E382" s="8">
        <v>15.75</v>
      </c>
      <c r="F382" s="8">
        <v>812.7</v>
      </c>
      <c r="H382" s="9">
        <f t="shared" si="5"/>
        <v>812.7</v>
      </c>
      <c r="I382" s="6" t="s">
        <v>0</v>
      </c>
      <c r="J382" s="6" t="s">
        <v>0</v>
      </c>
      <c r="L382" s="6" t="s">
        <v>0</v>
      </c>
      <c r="M382" s="6" t="s">
        <v>0</v>
      </c>
      <c r="O382" s="8">
        <v>15.75</v>
      </c>
      <c r="P382" s="8">
        <v>812.7</v>
      </c>
      <c r="Q382" s="8"/>
      <c r="R382" s="6" t="s">
        <v>0</v>
      </c>
      <c r="S382" s="6" t="s">
        <v>0</v>
      </c>
      <c r="U382" s="6" t="s">
        <v>0</v>
      </c>
      <c r="V382" s="6" t="s">
        <v>0</v>
      </c>
    </row>
    <row r="383" spans="1:22" x14ac:dyDescent="0.3">
      <c r="A383" s="11" t="s">
        <v>425</v>
      </c>
      <c r="B383" s="6" t="s">
        <v>427</v>
      </c>
      <c r="C383" s="7">
        <v>42.5</v>
      </c>
      <c r="D383" s="6" t="s">
        <v>65</v>
      </c>
      <c r="E383" s="8">
        <v>15.75</v>
      </c>
      <c r="F383" s="8">
        <v>669.375</v>
      </c>
      <c r="H383" s="9">
        <f t="shared" si="5"/>
        <v>669.375</v>
      </c>
      <c r="I383" s="6" t="s">
        <v>0</v>
      </c>
      <c r="J383" s="6" t="s">
        <v>0</v>
      </c>
      <c r="L383" s="6" t="s">
        <v>0</v>
      </c>
      <c r="M383" s="6" t="s">
        <v>0</v>
      </c>
      <c r="O383" s="8">
        <v>15.75</v>
      </c>
      <c r="P383" s="8">
        <v>669.375</v>
      </c>
      <c r="Q383" s="8"/>
      <c r="R383" s="6" t="s">
        <v>0</v>
      </c>
      <c r="S383" s="6" t="s">
        <v>0</v>
      </c>
      <c r="U383" s="6" t="s">
        <v>0</v>
      </c>
      <c r="V383" s="6" t="s">
        <v>0</v>
      </c>
    </row>
    <row r="384" spans="1:22" x14ac:dyDescent="0.3">
      <c r="A384" s="11" t="s">
        <v>425</v>
      </c>
      <c r="B384" s="6" t="s">
        <v>428</v>
      </c>
      <c r="C384" s="7">
        <v>10</v>
      </c>
      <c r="D384" s="6" t="s">
        <v>65</v>
      </c>
      <c r="E384" s="8">
        <v>15.75</v>
      </c>
      <c r="F384" s="8">
        <v>157.5</v>
      </c>
      <c r="H384" s="9">
        <f t="shared" si="5"/>
        <v>157.5</v>
      </c>
      <c r="I384" s="6" t="s">
        <v>0</v>
      </c>
      <c r="J384" s="6" t="s">
        <v>0</v>
      </c>
      <c r="L384" s="6" t="s">
        <v>0</v>
      </c>
      <c r="M384" s="6" t="s">
        <v>0</v>
      </c>
      <c r="O384" s="8">
        <v>15.75</v>
      </c>
      <c r="P384" s="8">
        <v>157.5</v>
      </c>
      <c r="Q384" s="8"/>
      <c r="R384" s="6" t="s">
        <v>0</v>
      </c>
      <c r="S384" s="6" t="s">
        <v>0</v>
      </c>
      <c r="U384" s="6" t="s">
        <v>0</v>
      </c>
      <c r="V384" s="6" t="s">
        <v>0</v>
      </c>
    </row>
    <row r="385" spans="1:22" x14ac:dyDescent="0.3">
      <c r="A385" s="11" t="s">
        <v>429</v>
      </c>
      <c r="B385" s="6" t="s">
        <v>430</v>
      </c>
      <c r="C385" s="7">
        <v>516.03052615262652</v>
      </c>
      <c r="D385" s="6" t="s">
        <v>47</v>
      </c>
      <c r="E385" s="8">
        <v>10.059000000000001</v>
      </c>
      <c r="F385" s="8">
        <v>5190.7510625692703</v>
      </c>
      <c r="G385" s="7"/>
      <c r="H385" s="9">
        <f t="shared" si="5"/>
        <v>5190.7510625692703</v>
      </c>
      <c r="I385" s="8">
        <v>4.7880000000000003</v>
      </c>
      <c r="J385" s="8">
        <v>2470.7541592187758</v>
      </c>
      <c r="K385" s="8"/>
      <c r="L385" s="8">
        <v>5.2709999999999999</v>
      </c>
      <c r="M385" s="8">
        <v>2719.9969033504944</v>
      </c>
      <c r="N385" s="8"/>
      <c r="O385" s="6" t="s">
        <v>0</v>
      </c>
      <c r="P385" s="6" t="s">
        <v>0</v>
      </c>
      <c r="R385" s="6" t="s">
        <v>0</v>
      </c>
      <c r="S385" s="6" t="s">
        <v>0</v>
      </c>
      <c r="U385" s="6" t="s">
        <v>0</v>
      </c>
      <c r="V385" s="6" t="s">
        <v>0</v>
      </c>
    </row>
    <row r="386" spans="1:22" x14ac:dyDescent="0.3">
      <c r="A386" s="11" t="s">
        <v>429</v>
      </c>
      <c r="B386" s="6" t="s">
        <v>431</v>
      </c>
      <c r="C386" s="7">
        <v>72.5</v>
      </c>
      <c r="D386" s="6" t="s">
        <v>47</v>
      </c>
      <c r="E386" s="8">
        <v>6.5625</v>
      </c>
      <c r="F386" s="8">
        <v>475.78125</v>
      </c>
      <c r="H386" s="9">
        <f t="shared" si="5"/>
        <v>475.78125</v>
      </c>
      <c r="I386" s="6" t="s">
        <v>0</v>
      </c>
      <c r="J386" s="6" t="s">
        <v>0</v>
      </c>
      <c r="L386" s="6" t="s">
        <v>0</v>
      </c>
      <c r="M386" s="6" t="s">
        <v>0</v>
      </c>
      <c r="O386" s="8">
        <v>6.5625</v>
      </c>
      <c r="P386" s="8">
        <v>475.78125</v>
      </c>
      <c r="Q386" s="8"/>
      <c r="R386" s="6" t="s">
        <v>0</v>
      </c>
      <c r="S386" s="6" t="s">
        <v>0</v>
      </c>
      <c r="U386" s="6" t="s">
        <v>0</v>
      </c>
      <c r="V386" s="6" t="s">
        <v>0</v>
      </c>
    </row>
    <row r="387" spans="1:22" x14ac:dyDescent="0.3">
      <c r="A387" s="11" t="s">
        <v>429</v>
      </c>
      <c r="B387" s="6" t="s">
        <v>432</v>
      </c>
      <c r="C387" s="7">
        <v>298.53052615262652</v>
      </c>
      <c r="D387" s="6" t="s">
        <v>47</v>
      </c>
      <c r="E387" s="8">
        <v>12.568500000000002</v>
      </c>
      <c r="F387" s="8">
        <v>3752.0809179492871</v>
      </c>
      <c r="G387" s="7"/>
      <c r="H387" s="9">
        <f t="shared" si="5"/>
        <v>3752.0809179492871</v>
      </c>
      <c r="I387" s="8">
        <v>12.568500000000002</v>
      </c>
      <c r="J387" s="8">
        <v>3752.0809179492871</v>
      </c>
      <c r="K387" s="8"/>
      <c r="L387" s="6" t="s">
        <v>0</v>
      </c>
      <c r="M387" s="6" t="s">
        <v>0</v>
      </c>
      <c r="O387" s="6" t="s">
        <v>0</v>
      </c>
      <c r="P387" s="6" t="s">
        <v>0</v>
      </c>
      <c r="R387" s="6" t="s">
        <v>0</v>
      </c>
      <c r="S387" s="6" t="s">
        <v>0</v>
      </c>
      <c r="U387" s="6" t="s">
        <v>0</v>
      </c>
      <c r="V387" s="6" t="s">
        <v>0</v>
      </c>
    </row>
    <row r="388" spans="1:22" x14ac:dyDescent="0.3">
      <c r="A388" s="11" t="s">
        <v>429</v>
      </c>
      <c r="B388" s="6" t="s">
        <v>433</v>
      </c>
      <c r="C388" s="7">
        <v>61.625</v>
      </c>
      <c r="D388" s="6" t="s">
        <v>39</v>
      </c>
      <c r="E388" s="8">
        <v>176.56000000000003</v>
      </c>
      <c r="F388" s="8">
        <v>10880.510000000002</v>
      </c>
      <c r="G388" s="7"/>
      <c r="H388" s="9">
        <f t="shared" ref="H388:H451" si="6">IF(AND(K388="",N388="",Q388="", T388="", W388=""), F388,K388+ N388+Q388+T388+W388)</f>
        <v>10880.510000000002</v>
      </c>
      <c r="I388" s="8">
        <v>15.96</v>
      </c>
      <c r="J388" s="8">
        <v>983.53500000000008</v>
      </c>
      <c r="K388" s="8"/>
      <c r="L388" s="8">
        <v>160.60000000000002</v>
      </c>
      <c r="M388" s="8">
        <v>9896.9750000000022</v>
      </c>
      <c r="N388" s="8"/>
      <c r="O388" s="6" t="s">
        <v>0</v>
      </c>
      <c r="P388" s="6" t="s">
        <v>0</v>
      </c>
      <c r="R388" s="6" t="s">
        <v>0</v>
      </c>
      <c r="S388" s="6" t="s">
        <v>0</v>
      </c>
      <c r="U388" s="6" t="s">
        <v>0</v>
      </c>
      <c r="V388" s="6" t="s">
        <v>0</v>
      </c>
    </row>
    <row r="389" spans="1:22" x14ac:dyDescent="0.3">
      <c r="A389" s="11" t="s">
        <v>429</v>
      </c>
      <c r="B389" s="6" t="s">
        <v>434</v>
      </c>
      <c r="C389" s="7">
        <v>20.897136830683859</v>
      </c>
      <c r="D389" s="6" t="s">
        <v>39</v>
      </c>
      <c r="E389" s="8">
        <v>160.60000000000002</v>
      </c>
      <c r="F389" s="8">
        <v>3356.0801750078281</v>
      </c>
      <c r="H389" s="9">
        <f t="shared" si="6"/>
        <v>3356.0801750078281</v>
      </c>
      <c r="I389" s="6" t="s">
        <v>0</v>
      </c>
      <c r="J389" s="6" t="s">
        <v>0</v>
      </c>
      <c r="L389" s="8">
        <v>160.60000000000002</v>
      </c>
      <c r="M389" s="8">
        <v>3356.0801750078281</v>
      </c>
      <c r="N389" s="8"/>
      <c r="O389" s="6" t="s">
        <v>0</v>
      </c>
      <c r="P389" s="6" t="s">
        <v>0</v>
      </c>
      <c r="R389" s="6" t="s">
        <v>0</v>
      </c>
      <c r="S389" s="6" t="s">
        <v>0</v>
      </c>
      <c r="U389" s="6" t="s">
        <v>0</v>
      </c>
      <c r="V389" s="6" t="s">
        <v>0</v>
      </c>
    </row>
    <row r="390" spans="1:22" x14ac:dyDescent="0.3">
      <c r="A390" s="11" t="s">
        <v>429</v>
      </c>
      <c r="B390" s="6" t="s">
        <v>130</v>
      </c>
      <c r="C390" s="7">
        <v>371.03052615262652</v>
      </c>
      <c r="D390" s="6" t="s">
        <v>47</v>
      </c>
      <c r="E390" s="8">
        <v>2.6</v>
      </c>
      <c r="F390" s="8">
        <v>964.679367996829</v>
      </c>
      <c r="H390" s="9">
        <f t="shared" si="6"/>
        <v>964.679367996829</v>
      </c>
      <c r="I390" s="6" t="s">
        <v>0</v>
      </c>
      <c r="J390" s="6" t="s">
        <v>0</v>
      </c>
      <c r="L390" s="6" t="s">
        <v>0</v>
      </c>
      <c r="M390" s="6" t="s">
        <v>0</v>
      </c>
      <c r="O390" s="8">
        <v>2.6</v>
      </c>
      <c r="P390" s="8">
        <v>964.679367996829</v>
      </c>
      <c r="Q390" s="8"/>
      <c r="R390" s="6" t="s">
        <v>0</v>
      </c>
      <c r="S390" s="6" t="s">
        <v>0</v>
      </c>
      <c r="U390" s="6" t="s">
        <v>0</v>
      </c>
      <c r="V390" s="6" t="s">
        <v>0</v>
      </c>
    </row>
    <row r="391" spans="1:22" x14ac:dyDescent="0.3">
      <c r="A391" s="11" t="s">
        <v>429</v>
      </c>
      <c r="B391" s="6" t="s">
        <v>435</v>
      </c>
      <c r="C391" s="7">
        <v>1613.9827887639251</v>
      </c>
      <c r="D391" s="6" t="s">
        <v>87</v>
      </c>
      <c r="E391" s="8">
        <v>2</v>
      </c>
      <c r="F391" s="8">
        <v>3227.9655775278502</v>
      </c>
      <c r="H391" s="9">
        <f t="shared" si="6"/>
        <v>3227.9655775278502</v>
      </c>
      <c r="I391" s="6" t="s">
        <v>0</v>
      </c>
      <c r="J391" s="6" t="s">
        <v>0</v>
      </c>
      <c r="L391" s="6" t="s">
        <v>0</v>
      </c>
      <c r="M391" s="6" t="s">
        <v>0</v>
      </c>
      <c r="O391" s="8">
        <v>2</v>
      </c>
      <c r="P391" s="8">
        <v>3227.9655775278502</v>
      </c>
      <c r="Q391" s="8"/>
      <c r="R391" s="6" t="s">
        <v>0</v>
      </c>
      <c r="S391" s="6" t="s">
        <v>0</v>
      </c>
      <c r="U391" s="6" t="s">
        <v>0</v>
      </c>
      <c r="V391" s="6" t="s">
        <v>0</v>
      </c>
    </row>
    <row r="392" spans="1:22" x14ac:dyDescent="0.3">
      <c r="A392" s="11" t="s">
        <v>429</v>
      </c>
      <c r="B392" s="6" t="s">
        <v>436</v>
      </c>
      <c r="C392" s="7">
        <v>298.53052615262652</v>
      </c>
      <c r="D392" s="6" t="s">
        <v>47</v>
      </c>
      <c r="E392" s="8">
        <v>3.1500000000000004</v>
      </c>
      <c r="F392" s="8">
        <v>940.37115738077364</v>
      </c>
      <c r="H392" s="9">
        <f t="shared" si="6"/>
        <v>940.37115738077364</v>
      </c>
      <c r="I392" s="6" t="s">
        <v>0</v>
      </c>
      <c r="J392" s="6" t="s">
        <v>0</v>
      </c>
      <c r="L392" s="6" t="s">
        <v>0</v>
      </c>
      <c r="M392" s="6" t="s">
        <v>0</v>
      </c>
      <c r="O392" s="8">
        <v>3.1500000000000004</v>
      </c>
      <c r="P392" s="8">
        <v>940.37115738077364</v>
      </c>
      <c r="Q392" s="8"/>
      <c r="R392" s="6" t="s">
        <v>0</v>
      </c>
      <c r="S392" s="6" t="s">
        <v>0</v>
      </c>
      <c r="U392" s="6" t="s">
        <v>0</v>
      </c>
      <c r="V392" s="6" t="s">
        <v>0</v>
      </c>
    </row>
    <row r="393" spans="1:22" x14ac:dyDescent="0.3">
      <c r="A393" s="11" t="s">
        <v>437</v>
      </c>
      <c r="B393" s="6" t="s">
        <v>438</v>
      </c>
      <c r="C393" s="7">
        <v>1933.7357351000001</v>
      </c>
      <c r="D393" s="6" t="s">
        <v>47</v>
      </c>
      <c r="E393" s="8">
        <v>10.1745</v>
      </c>
      <c r="F393" s="8">
        <v>19674.794236774949</v>
      </c>
      <c r="H393" s="9">
        <f t="shared" si="6"/>
        <v>19674.794236774949</v>
      </c>
      <c r="I393" s="6" t="s">
        <v>0</v>
      </c>
      <c r="J393" s="6" t="s">
        <v>0</v>
      </c>
      <c r="L393" s="6" t="s">
        <v>0</v>
      </c>
      <c r="M393" s="6" t="s">
        <v>0</v>
      </c>
      <c r="O393" s="8">
        <v>10.1745</v>
      </c>
      <c r="P393" s="8">
        <v>19674.794236774949</v>
      </c>
      <c r="Q393" s="8"/>
      <c r="R393" s="6" t="s">
        <v>0</v>
      </c>
      <c r="S393" s="6" t="s">
        <v>0</v>
      </c>
      <c r="U393" s="6" t="s">
        <v>0</v>
      </c>
      <c r="V393" s="6" t="s">
        <v>0</v>
      </c>
    </row>
    <row r="394" spans="1:22" x14ac:dyDescent="0.3">
      <c r="A394" s="11" t="s">
        <v>437</v>
      </c>
      <c r="B394" s="6" t="s">
        <v>439</v>
      </c>
      <c r="C394" s="7">
        <v>1933.7357351000001</v>
      </c>
      <c r="D394" s="6" t="s">
        <v>47</v>
      </c>
      <c r="E394" s="8">
        <v>0.36749999999999999</v>
      </c>
      <c r="F394" s="8">
        <v>710.64788264925005</v>
      </c>
      <c r="H394" s="9">
        <f t="shared" si="6"/>
        <v>710.64788264925005</v>
      </c>
      <c r="I394" s="6" t="s">
        <v>0</v>
      </c>
      <c r="J394" s="6" t="s">
        <v>0</v>
      </c>
      <c r="L394" s="6" t="s">
        <v>0</v>
      </c>
      <c r="M394" s="6" t="s">
        <v>0</v>
      </c>
      <c r="O394" s="8">
        <v>0.36749999999999999</v>
      </c>
      <c r="P394" s="8">
        <v>710.64788264925005</v>
      </c>
      <c r="Q394" s="8"/>
      <c r="R394" s="6" t="s">
        <v>0</v>
      </c>
      <c r="S394" s="6" t="s">
        <v>0</v>
      </c>
      <c r="U394" s="6" t="s">
        <v>0</v>
      </c>
      <c r="V394" s="6" t="s">
        <v>0</v>
      </c>
    </row>
    <row r="395" spans="1:22" x14ac:dyDescent="0.3">
      <c r="A395" s="11" t="s">
        <v>437</v>
      </c>
      <c r="B395" s="6" t="s">
        <v>440</v>
      </c>
      <c r="C395" s="7">
        <v>1933.7357351000001</v>
      </c>
      <c r="D395" s="6" t="s">
        <v>47</v>
      </c>
      <c r="E395" s="8">
        <v>0.76</v>
      </c>
      <c r="F395" s="8">
        <v>1469.6391586760001</v>
      </c>
      <c r="G395" s="7"/>
      <c r="H395" s="9">
        <f t="shared" si="6"/>
        <v>1469.6391586760001</v>
      </c>
      <c r="I395" s="8">
        <v>0.76</v>
      </c>
      <c r="J395" s="8">
        <v>1469.6391586760001</v>
      </c>
      <c r="K395" s="8"/>
      <c r="L395" s="6" t="s">
        <v>0</v>
      </c>
      <c r="M395" s="6" t="s">
        <v>0</v>
      </c>
      <c r="O395" s="6" t="s">
        <v>0</v>
      </c>
      <c r="P395" s="6" t="s">
        <v>0</v>
      </c>
      <c r="R395" s="6" t="s">
        <v>0</v>
      </c>
      <c r="S395" s="6" t="s">
        <v>0</v>
      </c>
      <c r="U395" s="6" t="s">
        <v>0</v>
      </c>
      <c r="V395" s="6" t="s">
        <v>0</v>
      </c>
    </row>
    <row r="396" spans="1:22" x14ac:dyDescent="0.3">
      <c r="A396" s="11" t="s">
        <v>437</v>
      </c>
      <c r="B396" s="6" t="s">
        <v>441</v>
      </c>
      <c r="C396" s="7">
        <v>1933.7357351000001</v>
      </c>
      <c r="D396" s="6" t="s">
        <v>47</v>
      </c>
      <c r="E396" s="8">
        <v>2.6</v>
      </c>
      <c r="F396" s="8">
        <v>5027.7129112599996</v>
      </c>
      <c r="G396" s="7"/>
      <c r="H396" s="9">
        <f t="shared" si="6"/>
        <v>5027.7129112599996</v>
      </c>
      <c r="I396" s="8">
        <v>1.9000000000000001</v>
      </c>
      <c r="J396" s="8">
        <v>3674.0978966900002</v>
      </c>
      <c r="K396" s="8"/>
      <c r="L396" s="8">
        <v>0.7</v>
      </c>
      <c r="M396" s="8">
        <v>1353.6150145699999</v>
      </c>
      <c r="N396" s="8"/>
      <c r="O396" s="6" t="s">
        <v>0</v>
      </c>
      <c r="P396" s="6" t="s">
        <v>0</v>
      </c>
      <c r="R396" s="6" t="s">
        <v>0</v>
      </c>
      <c r="S396" s="6" t="s">
        <v>0</v>
      </c>
      <c r="U396" s="6" t="s">
        <v>0</v>
      </c>
      <c r="V396" s="6" t="s">
        <v>0</v>
      </c>
    </row>
    <row r="397" spans="1:22" x14ac:dyDescent="0.3">
      <c r="A397" s="11" t="s">
        <v>442</v>
      </c>
      <c r="B397" s="6" t="s">
        <v>443</v>
      </c>
      <c r="C397" s="7">
        <v>1921.1260119723861</v>
      </c>
      <c r="D397" s="6" t="s">
        <v>47</v>
      </c>
      <c r="E397" s="8">
        <v>1.077422941873614E-3</v>
      </c>
      <c r="F397" s="8">
        <v>2.0698652395292121</v>
      </c>
      <c r="H397" s="9">
        <f t="shared" si="6"/>
        <v>2.0698652395292121</v>
      </c>
      <c r="I397" s="6" t="s">
        <v>0</v>
      </c>
      <c r="J397" s="6" t="s">
        <v>0</v>
      </c>
      <c r="L397" s="6" t="s">
        <v>0</v>
      </c>
      <c r="M397" s="6" t="s">
        <v>0</v>
      </c>
      <c r="O397" s="6" t="s">
        <v>0</v>
      </c>
      <c r="P397" s="6" t="s">
        <v>0</v>
      </c>
      <c r="R397" s="6" t="s">
        <v>0</v>
      </c>
      <c r="S397" s="6" t="s">
        <v>0</v>
      </c>
      <c r="U397" s="8">
        <v>1.077422941873614E-3</v>
      </c>
      <c r="V397" s="8">
        <v>2.0698652395292121</v>
      </c>
    </row>
    <row r="398" spans="1:22" x14ac:dyDescent="0.3">
      <c r="A398" s="11" t="s">
        <v>442</v>
      </c>
      <c r="B398" s="6" t="s">
        <v>444</v>
      </c>
      <c r="C398" s="7">
        <v>1921.1260119723861</v>
      </c>
      <c r="D398" s="6" t="s">
        <v>47</v>
      </c>
      <c r="E398" s="8">
        <v>22.05</v>
      </c>
      <c r="F398" s="8">
        <v>42360.828563991112</v>
      </c>
      <c r="H398" s="9">
        <f t="shared" si="6"/>
        <v>42360.828563991112</v>
      </c>
      <c r="I398" s="6" t="s">
        <v>0</v>
      </c>
      <c r="J398" s="6" t="s">
        <v>0</v>
      </c>
      <c r="L398" s="6" t="s">
        <v>0</v>
      </c>
      <c r="M398" s="6" t="s">
        <v>0</v>
      </c>
      <c r="O398" s="8">
        <v>22.05</v>
      </c>
      <c r="P398" s="8">
        <v>42360.828563991112</v>
      </c>
      <c r="Q398" s="8"/>
      <c r="R398" s="6" t="s">
        <v>0</v>
      </c>
      <c r="S398" s="6" t="s">
        <v>0</v>
      </c>
      <c r="U398" s="6" t="s">
        <v>0</v>
      </c>
      <c r="V398" s="6" t="s">
        <v>0</v>
      </c>
    </row>
    <row r="399" spans="1:22" x14ac:dyDescent="0.3">
      <c r="A399" s="11" t="s">
        <v>442</v>
      </c>
      <c r="B399" s="6" t="s">
        <v>445</v>
      </c>
      <c r="C399" s="7">
        <v>1921.1260119723861</v>
      </c>
      <c r="D399" s="6" t="s">
        <v>47</v>
      </c>
      <c r="E399" s="8">
        <v>2</v>
      </c>
      <c r="F399" s="8">
        <v>3842.2520239447722</v>
      </c>
      <c r="H399" s="9">
        <f t="shared" si="6"/>
        <v>3842.2520239447722</v>
      </c>
      <c r="I399" s="6" t="s">
        <v>0</v>
      </c>
      <c r="J399" s="6" t="s">
        <v>0</v>
      </c>
      <c r="L399" s="6" t="s">
        <v>0</v>
      </c>
      <c r="M399" s="6" t="s">
        <v>0</v>
      </c>
      <c r="O399" s="8">
        <v>2</v>
      </c>
      <c r="P399" s="8">
        <v>3842.2520239447722</v>
      </c>
      <c r="Q399" s="8"/>
      <c r="R399" s="6" t="s">
        <v>0</v>
      </c>
      <c r="S399" s="6" t="s">
        <v>0</v>
      </c>
      <c r="U399" s="6" t="s">
        <v>0</v>
      </c>
      <c r="V399" s="6" t="s">
        <v>0</v>
      </c>
    </row>
    <row r="400" spans="1:22" x14ac:dyDescent="0.3">
      <c r="A400" s="11" t="s">
        <v>442</v>
      </c>
      <c r="B400" s="6" t="s">
        <v>446</v>
      </c>
      <c r="C400" s="7">
        <v>1921.1260119723861</v>
      </c>
      <c r="D400" s="6" t="s">
        <v>47</v>
      </c>
      <c r="E400" s="8">
        <v>2</v>
      </c>
      <c r="F400" s="8">
        <v>3842.2520239447722</v>
      </c>
      <c r="H400" s="9">
        <f t="shared" si="6"/>
        <v>3842.2520239447722</v>
      </c>
      <c r="I400" s="6" t="s">
        <v>0</v>
      </c>
      <c r="J400" s="6" t="s">
        <v>0</v>
      </c>
      <c r="L400" s="6" t="s">
        <v>0</v>
      </c>
      <c r="M400" s="6" t="s">
        <v>0</v>
      </c>
      <c r="O400" s="8">
        <v>2</v>
      </c>
      <c r="P400" s="8">
        <v>3842.2520239447722</v>
      </c>
      <c r="Q400" s="8"/>
      <c r="R400" s="6" t="s">
        <v>0</v>
      </c>
      <c r="S400" s="6" t="s">
        <v>0</v>
      </c>
      <c r="U400" s="6" t="s">
        <v>0</v>
      </c>
      <c r="V400" s="6" t="s">
        <v>0</v>
      </c>
    </row>
    <row r="401" spans="1:22" x14ac:dyDescent="0.3">
      <c r="A401" s="11" t="s">
        <v>442</v>
      </c>
      <c r="B401" s="6" t="s">
        <v>447</v>
      </c>
      <c r="C401" s="7">
        <v>61</v>
      </c>
      <c r="D401" s="6" t="s">
        <v>45</v>
      </c>
      <c r="E401" s="8">
        <v>30</v>
      </c>
      <c r="F401" s="8">
        <v>1830</v>
      </c>
      <c r="H401" s="9">
        <f t="shared" si="6"/>
        <v>1830</v>
      </c>
      <c r="I401" s="6" t="s">
        <v>0</v>
      </c>
      <c r="J401" s="6" t="s">
        <v>0</v>
      </c>
      <c r="L401" s="8">
        <v>15</v>
      </c>
      <c r="M401" s="8">
        <v>915</v>
      </c>
      <c r="N401" s="8"/>
      <c r="O401" s="8">
        <v>15</v>
      </c>
      <c r="P401" s="8">
        <v>915</v>
      </c>
      <c r="Q401" s="8"/>
      <c r="R401" s="6" t="s">
        <v>0</v>
      </c>
      <c r="S401" s="6" t="s">
        <v>0</v>
      </c>
      <c r="U401" s="6" t="s">
        <v>0</v>
      </c>
      <c r="V401" s="6" t="s">
        <v>0</v>
      </c>
    </row>
    <row r="402" spans="1:22" x14ac:dyDescent="0.3">
      <c r="A402" s="11" t="s">
        <v>448</v>
      </c>
      <c r="B402" s="6" t="s">
        <v>449</v>
      </c>
      <c r="C402" s="7">
        <v>143.37636641874971</v>
      </c>
      <c r="D402" s="6" t="s">
        <v>47</v>
      </c>
      <c r="E402" s="8">
        <v>40.990000000000009</v>
      </c>
      <c r="F402" s="8">
        <v>5876.997259504551</v>
      </c>
      <c r="G402" s="7"/>
      <c r="H402" s="9">
        <f t="shared" si="6"/>
        <v>5876.997259504551</v>
      </c>
      <c r="I402" s="8">
        <v>3.8400000000000003</v>
      </c>
      <c r="J402" s="8">
        <v>550.56524704799892</v>
      </c>
      <c r="K402" s="8"/>
      <c r="L402" s="6" t="s">
        <v>0</v>
      </c>
      <c r="M402" s="6" t="s">
        <v>0</v>
      </c>
      <c r="O402" s="8">
        <v>37.15</v>
      </c>
      <c r="P402" s="8">
        <v>5326.432012456552</v>
      </c>
      <c r="Q402" s="8"/>
      <c r="R402" s="6" t="s">
        <v>0</v>
      </c>
      <c r="S402" s="6" t="s">
        <v>0</v>
      </c>
      <c r="U402" s="6" t="s">
        <v>0</v>
      </c>
      <c r="V402" s="6" t="s">
        <v>0</v>
      </c>
    </row>
    <row r="403" spans="1:22" x14ac:dyDescent="0.3">
      <c r="A403" s="11" t="s">
        <v>448</v>
      </c>
      <c r="B403" s="6" t="s">
        <v>450</v>
      </c>
      <c r="C403" s="7">
        <v>250</v>
      </c>
      <c r="D403" s="6" t="s">
        <v>65</v>
      </c>
      <c r="E403" s="8">
        <v>6</v>
      </c>
      <c r="F403" s="8">
        <v>1500</v>
      </c>
      <c r="H403" s="9">
        <f t="shared" si="6"/>
        <v>1500</v>
      </c>
      <c r="I403" s="6" t="s">
        <v>0</v>
      </c>
      <c r="J403" s="6" t="s">
        <v>0</v>
      </c>
      <c r="L403" s="6" t="s">
        <v>0</v>
      </c>
      <c r="M403" s="6" t="s">
        <v>0</v>
      </c>
      <c r="O403" s="8">
        <v>6</v>
      </c>
      <c r="P403" s="8">
        <v>1500</v>
      </c>
      <c r="Q403" s="8"/>
      <c r="R403" s="6" t="s">
        <v>0</v>
      </c>
      <c r="S403" s="6" t="s">
        <v>0</v>
      </c>
      <c r="U403" s="6" t="s">
        <v>0</v>
      </c>
      <c r="V403" s="6" t="s">
        <v>0</v>
      </c>
    </row>
    <row r="404" spans="1:22" x14ac:dyDescent="0.3">
      <c r="A404" s="11" t="s">
        <v>448</v>
      </c>
      <c r="B404" s="6" t="s">
        <v>451</v>
      </c>
      <c r="C404" s="7">
        <v>143.37636641874971</v>
      </c>
      <c r="D404" s="6" t="s">
        <v>47</v>
      </c>
      <c r="E404" s="8">
        <v>2</v>
      </c>
      <c r="F404" s="8">
        <v>286.75273283749942</v>
      </c>
      <c r="H404" s="9">
        <f t="shared" si="6"/>
        <v>286.75273283749942</v>
      </c>
      <c r="I404" s="6" t="s">
        <v>0</v>
      </c>
      <c r="J404" s="6" t="s">
        <v>0</v>
      </c>
      <c r="L404" s="6" t="s">
        <v>0</v>
      </c>
      <c r="M404" s="6" t="s">
        <v>0</v>
      </c>
      <c r="O404" s="8">
        <v>2</v>
      </c>
      <c r="P404" s="8">
        <v>286.75273283749942</v>
      </c>
      <c r="Q404" s="8"/>
      <c r="R404" s="6" t="s">
        <v>0</v>
      </c>
      <c r="S404" s="6" t="s">
        <v>0</v>
      </c>
      <c r="U404" s="6" t="s">
        <v>0</v>
      </c>
      <c r="V404" s="6" t="s">
        <v>0</v>
      </c>
    </row>
    <row r="405" spans="1:22" x14ac:dyDescent="0.3">
      <c r="A405" s="11" t="s">
        <v>452</v>
      </c>
      <c r="B405" s="6" t="s">
        <v>453</v>
      </c>
      <c r="C405" s="7">
        <v>56.454926532292149</v>
      </c>
      <c r="D405" s="6" t="s">
        <v>47</v>
      </c>
      <c r="E405" s="8">
        <v>34.054499999999997</v>
      </c>
      <c r="F405" s="8">
        <v>1922.5442955939427</v>
      </c>
      <c r="H405" s="9">
        <f t="shared" si="6"/>
        <v>1922.5442955939427</v>
      </c>
      <c r="I405" s="6" t="s">
        <v>0</v>
      </c>
      <c r="J405" s="6" t="s">
        <v>0</v>
      </c>
      <c r="L405" s="8">
        <v>10.429499999999999</v>
      </c>
      <c r="M405" s="8">
        <v>588.79665626854091</v>
      </c>
      <c r="N405" s="8"/>
      <c r="O405" s="8">
        <v>23.624999999999996</v>
      </c>
      <c r="P405" s="8">
        <v>1333.7476393254019</v>
      </c>
      <c r="Q405" s="8"/>
      <c r="R405" s="6" t="s">
        <v>0</v>
      </c>
      <c r="S405" s="6" t="s">
        <v>0</v>
      </c>
      <c r="U405" s="6" t="s">
        <v>0</v>
      </c>
      <c r="V405" s="6" t="s">
        <v>0</v>
      </c>
    </row>
    <row r="406" spans="1:22" x14ac:dyDescent="0.3">
      <c r="A406" s="11" t="s">
        <v>452</v>
      </c>
      <c r="B406" s="6" t="s">
        <v>454</v>
      </c>
      <c r="C406" s="7">
        <v>301.5</v>
      </c>
      <c r="D406" s="6" t="s">
        <v>47</v>
      </c>
      <c r="E406" s="8">
        <v>45.744799999999998</v>
      </c>
      <c r="F406" s="8">
        <v>13792.057199999999</v>
      </c>
      <c r="H406" s="9">
        <f t="shared" si="6"/>
        <v>13792.057199999999</v>
      </c>
      <c r="I406" s="6" t="s">
        <v>0</v>
      </c>
      <c r="J406" s="6" t="s">
        <v>0</v>
      </c>
      <c r="L406" s="8">
        <v>24.744799999999998</v>
      </c>
      <c r="M406" s="8">
        <v>7460.5571999999993</v>
      </c>
      <c r="N406" s="8"/>
      <c r="O406" s="8">
        <v>21</v>
      </c>
      <c r="P406" s="8">
        <v>6331.5</v>
      </c>
      <c r="Q406" s="8"/>
      <c r="R406" s="6" t="s">
        <v>0</v>
      </c>
      <c r="S406" s="6" t="s">
        <v>0</v>
      </c>
      <c r="U406" s="6" t="s">
        <v>0</v>
      </c>
      <c r="V406" s="6" t="s">
        <v>0</v>
      </c>
    </row>
    <row r="407" spans="1:22" x14ac:dyDescent="0.3">
      <c r="A407" s="11" t="s">
        <v>452</v>
      </c>
      <c r="B407" s="6" t="s">
        <v>455</v>
      </c>
      <c r="C407" s="7">
        <v>301.5</v>
      </c>
      <c r="D407" s="6" t="s">
        <v>47</v>
      </c>
      <c r="E407" s="8">
        <v>22.112000000000002</v>
      </c>
      <c r="F407" s="8">
        <v>6666.768</v>
      </c>
      <c r="H407" s="9">
        <f t="shared" si="6"/>
        <v>6666.768</v>
      </c>
      <c r="I407" s="6" t="s">
        <v>0</v>
      </c>
      <c r="J407" s="6" t="s">
        <v>0</v>
      </c>
      <c r="L407" s="8">
        <v>7.4119999999999999</v>
      </c>
      <c r="M407" s="8">
        <v>2234.7179999999998</v>
      </c>
      <c r="N407" s="8"/>
      <c r="O407" s="8">
        <v>14.700000000000001</v>
      </c>
      <c r="P407" s="8">
        <v>4432.05</v>
      </c>
      <c r="Q407" s="8"/>
      <c r="R407" s="6" t="s">
        <v>0</v>
      </c>
      <c r="S407" s="6" t="s">
        <v>0</v>
      </c>
      <c r="U407" s="6" t="s">
        <v>0</v>
      </c>
      <c r="V407" s="6" t="s">
        <v>0</v>
      </c>
    </row>
    <row r="408" spans="1:22" x14ac:dyDescent="0.3">
      <c r="A408" s="11" t="s">
        <v>456</v>
      </c>
      <c r="B408" s="6" t="s">
        <v>457</v>
      </c>
      <c r="C408" s="7">
        <v>236.33468903419029</v>
      </c>
      <c r="D408" s="6" t="s">
        <v>4</v>
      </c>
      <c r="E408" s="8">
        <v>1.5974440894568689E-3</v>
      </c>
      <c r="F408" s="8">
        <v>0.37753145213129435</v>
      </c>
      <c r="H408" s="9">
        <f t="shared" si="6"/>
        <v>0.37753145213129435</v>
      </c>
      <c r="I408" s="6" t="s">
        <v>0</v>
      </c>
      <c r="J408" s="6" t="s">
        <v>0</v>
      </c>
      <c r="L408" s="6" t="s">
        <v>0</v>
      </c>
      <c r="M408" s="6" t="s">
        <v>0</v>
      </c>
      <c r="O408" s="6" t="s">
        <v>0</v>
      </c>
      <c r="P408" s="6" t="s">
        <v>0</v>
      </c>
      <c r="R408" s="6" t="s">
        <v>0</v>
      </c>
      <c r="S408" s="6" t="s">
        <v>0</v>
      </c>
      <c r="U408" s="8">
        <v>1.5974440894568689E-3</v>
      </c>
      <c r="V408" s="8">
        <v>0.37753145213129435</v>
      </c>
    </row>
    <row r="409" spans="1:22" x14ac:dyDescent="0.3">
      <c r="A409" s="11" t="s">
        <v>456</v>
      </c>
      <c r="B409" s="6" t="s">
        <v>458</v>
      </c>
      <c r="C409" s="7">
        <v>43</v>
      </c>
      <c r="D409" s="6" t="s">
        <v>45</v>
      </c>
      <c r="E409" s="8">
        <v>13.65</v>
      </c>
      <c r="F409" s="8">
        <v>586.95000000000005</v>
      </c>
      <c r="H409" s="9">
        <f t="shared" si="6"/>
        <v>586.95000000000005</v>
      </c>
      <c r="I409" s="6" t="s">
        <v>0</v>
      </c>
      <c r="J409" s="6" t="s">
        <v>0</v>
      </c>
      <c r="L409" s="6" t="s">
        <v>0</v>
      </c>
      <c r="M409" s="6" t="s">
        <v>0</v>
      </c>
      <c r="O409" s="8">
        <v>13.65</v>
      </c>
      <c r="P409" s="8">
        <v>586.95000000000005</v>
      </c>
      <c r="Q409" s="8"/>
      <c r="R409" s="6" t="s">
        <v>0</v>
      </c>
      <c r="S409" s="6" t="s">
        <v>0</v>
      </c>
      <c r="U409" s="6" t="s">
        <v>0</v>
      </c>
      <c r="V409" s="6" t="s">
        <v>0</v>
      </c>
    </row>
    <row r="410" spans="1:22" x14ac:dyDescent="0.3">
      <c r="A410" s="11" t="s">
        <v>456</v>
      </c>
      <c r="B410" s="6" t="s">
        <v>453</v>
      </c>
      <c r="C410" s="7">
        <v>236.33468903419029</v>
      </c>
      <c r="D410" s="6" t="s">
        <v>47</v>
      </c>
      <c r="E410" s="8">
        <v>34.054499999999997</v>
      </c>
      <c r="F410" s="8">
        <v>8048.2596677148331</v>
      </c>
      <c r="H410" s="9">
        <f t="shared" si="6"/>
        <v>8048.2596677148331</v>
      </c>
      <c r="I410" s="6" t="s">
        <v>0</v>
      </c>
      <c r="J410" s="6" t="s">
        <v>0</v>
      </c>
      <c r="L410" s="8">
        <v>10.429499999999999</v>
      </c>
      <c r="M410" s="8">
        <v>2464.8526392820872</v>
      </c>
      <c r="N410" s="8"/>
      <c r="O410" s="8">
        <v>23.625</v>
      </c>
      <c r="P410" s="8">
        <v>5583.4070284327454</v>
      </c>
      <c r="Q410" s="8"/>
      <c r="R410" s="6" t="s">
        <v>0</v>
      </c>
      <c r="S410" s="6" t="s">
        <v>0</v>
      </c>
      <c r="U410" s="6" t="s">
        <v>0</v>
      </c>
      <c r="V410" s="6" t="s">
        <v>0</v>
      </c>
    </row>
    <row r="411" spans="1:22" x14ac:dyDescent="0.3">
      <c r="A411" s="11" t="s">
        <v>456</v>
      </c>
      <c r="B411" s="6" t="s">
        <v>459</v>
      </c>
      <c r="C411" s="7">
        <v>136.80000000000001</v>
      </c>
      <c r="D411" s="6" t="s">
        <v>47</v>
      </c>
      <c r="E411" s="8">
        <v>60.519999999999996</v>
      </c>
      <c r="F411" s="8">
        <v>8279.1360000000004</v>
      </c>
      <c r="H411" s="9">
        <f t="shared" si="6"/>
        <v>8279.1360000000004</v>
      </c>
      <c r="I411" s="6" t="s">
        <v>0</v>
      </c>
      <c r="J411" s="6" t="s">
        <v>0</v>
      </c>
      <c r="L411" s="8">
        <v>32.589999999999996</v>
      </c>
      <c r="M411" s="8">
        <v>4458.3119999999999</v>
      </c>
      <c r="N411" s="8"/>
      <c r="O411" s="8">
        <v>27.930000000000003</v>
      </c>
      <c r="P411" s="8">
        <v>3820.824000000001</v>
      </c>
      <c r="Q411" s="8"/>
      <c r="R411" s="6" t="s">
        <v>0</v>
      </c>
      <c r="S411" s="6" t="s">
        <v>0</v>
      </c>
      <c r="U411" s="6" t="s">
        <v>0</v>
      </c>
      <c r="V411" s="6" t="s">
        <v>0</v>
      </c>
    </row>
    <row r="412" spans="1:22" x14ac:dyDescent="0.3">
      <c r="A412" s="11" t="s">
        <v>456</v>
      </c>
      <c r="B412" s="6" t="s">
        <v>460</v>
      </c>
      <c r="C412" s="7">
        <v>99.5</v>
      </c>
      <c r="D412" s="6" t="s">
        <v>47</v>
      </c>
      <c r="E412" s="8">
        <v>51.674800000000005</v>
      </c>
      <c r="F412" s="8">
        <v>5141.6426000000001</v>
      </c>
      <c r="H412" s="9">
        <f t="shared" si="6"/>
        <v>5141.6426000000001</v>
      </c>
      <c r="I412" s="6" t="s">
        <v>0</v>
      </c>
      <c r="J412" s="6" t="s">
        <v>0</v>
      </c>
      <c r="L412" s="8">
        <v>23.744799999999998</v>
      </c>
      <c r="M412" s="8">
        <v>2362.6075999999998</v>
      </c>
      <c r="N412" s="8"/>
      <c r="O412" s="8">
        <v>27.930000000000003</v>
      </c>
      <c r="P412" s="8">
        <v>2779.0350000000003</v>
      </c>
      <c r="Q412" s="8"/>
      <c r="R412" s="6" t="s">
        <v>0</v>
      </c>
      <c r="S412" s="6" t="s">
        <v>0</v>
      </c>
      <c r="U412" s="6" t="s">
        <v>0</v>
      </c>
      <c r="V412" s="6" t="s">
        <v>0</v>
      </c>
    </row>
    <row r="413" spans="1:22" x14ac:dyDescent="0.3">
      <c r="A413" s="11" t="s">
        <v>456</v>
      </c>
      <c r="B413" s="6" t="s">
        <v>461</v>
      </c>
      <c r="C413" s="7">
        <v>448.5</v>
      </c>
      <c r="D413" s="6" t="s">
        <v>65</v>
      </c>
      <c r="E413" s="8">
        <v>5.5</v>
      </c>
      <c r="F413" s="8">
        <v>2466.75</v>
      </c>
      <c r="H413" s="9">
        <f t="shared" si="6"/>
        <v>2466.75</v>
      </c>
      <c r="I413" s="6" t="s">
        <v>0</v>
      </c>
      <c r="J413" s="6" t="s">
        <v>0</v>
      </c>
      <c r="L413" s="6" t="s">
        <v>0</v>
      </c>
      <c r="M413" s="6" t="s">
        <v>0</v>
      </c>
      <c r="O413" s="8">
        <v>5.5</v>
      </c>
      <c r="P413" s="8">
        <v>2466.75</v>
      </c>
      <c r="Q413" s="8"/>
      <c r="R413" s="6" t="s">
        <v>0</v>
      </c>
      <c r="S413" s="6" t="s">
        <v>0</v>
      </c>
      <c r="U413" s="6" t="s">
        <v>0</v>
      </c>
      <c r="V413" s="6" t="s">
        <v>0</v>
      </c>
    </row>
    <row r="414" spans="1:22" x14ac:dyDescent="0.3">
      <c r="A414" s="11" t="s">
        <v>462</v>
      </c>
      <c r="B414" s="6" t="s">
        <v>463</v>
      </c>
      <c r="C414" s="7">
        <v>1</v>
      </c>
      <c r="D414" s="6" t="s">
        <v>4</v>
      </c>
      <c r="E414" s="8">
        <v>112900</v>
      </c>
      <c r="F414" s="8">
        <v>112900</v>
      </c>
      <c r="H414" s="9">
        <f t="shared" si="6"/>
        <v>112900</v>
      </c>
      <c r="I414" s="6" t="s">
        <v>0</v>
      </c>
      <c r="J414" s="6" t="s">
        <v>0</v>
      </c>
      <c r="L414" s="6" t="s">
        <v>0</v>
      </c>
      <c r="M414" s="6" t="s">
        <v>0</v>
      </c>
      <c r="O414" s="8">
        <v>112900</v>
      </c>
      <c r="P414" s="8">
        <v>112900</v>
      </c>
      <c r="Q414" s="8"/>
      <c r="R414" s="6" t="s">
        <v>0</v>
      </c>
      <c r="S414" s="6" t="s">
        <v>0</v>
      </c>
      <c r="U414" s="6" t="s">
        <v>0</v>
      </c>
      <c r="V414" s="6" t="s">
        <v>0</v>
      </c>
    </row>
    <row r="415" spans="1:22" x14ac:dyDescent="0.3">
      <c r="A415" s="11" t="s">
        <v>462</v>
      </c>
      <c r="B415" s="6" t="s">
        <v>464</v>
      </c>
      <c r="C415" s="7">
        <v>95.6</v>
      </c>
      <c r="D415" s="6" t="s">
        <v>47</v>
      </c>
      <c r="E415" s="8">
        <v>14</v>
      </c>
      <c r="F415" s="8">
        <v>1338.3999999999999</v>
      </c>
      <c r="H415" s="9">
        <f t="shared" si="6"/>
        <v>1338.3999999999999</v>
      </c>
      <c r="I415" s="6" t="s">
        <v>0</v>
      </c>
      <c r="J415" s="6" t="s">
        <v>0</v>
      </c>
      <c r="L415" s="6" t="s">
        <v>0</v>
      </c>
      <c r="M415" s="6" t="s">
        <v>0</v>
      </c>
      <c r="O415" s="8">
        <v>14</v>
      </c>
      <c r="P415" s="8">
        <v>1338.3999999999999</v>
      </c>
      <c r="Q415" s="8"/>
      <c r="R415" s="6" t="s">
        <v>0</v>
      </c>
      <c r="S415" s="6" t="s">
        <v>0</v>
      </c>
      <c r="U415" s="6" t="s">
        <v>0</v>
      </c>
      <c r="V415" s="6" t="s">
        <v>0</v>
      </c>
    </row>
    <row r="416" spans="1:22" x14ac:dyDescent="0.3">
      <c r="A416" s="11" t="s">
        <v>465</v>
      </c>
      <c r="B416" s="6" t="s">
        <v>466</v>
      </c>
      <c r="C416" s="7">
        <v>1</v>
      </c>
      <c r="D416" s="6" t="s">
        <v>4</v>
      </c>
      <c r="E416" s="8">
        <v>150000</v>
      </c>
      <c r="F416" s="8">
        <v>150000</v>
      </c>
      <c r="H416" s="9">
        <f t="shared" si="6"/>
        <v>150000</v>
      </c>
      <c r="I416" s="6" t="s">
        <v>0</v>
      </c>
      <c r="J416" s="6" t="s">
        <v>0</v>
      </c>
      <c r="L416" s="6" t="s">
        <v>0</v>
      </c>
      <c r="M416" s="6" t="s">
        <v>0</v>
      </c>
      <c r="O416" s="8">
        <v>150000</v>
      </c>
      <c r="P416" s="8">
        <v>150000</v>
      </c>
      <c r="Q416" s="8"/>
      <c r="R416" s="6" t="s">
        <v>0</v>
      </c>
      <c r="S416" s="6" t="s">
        <v>0</v>
      </c>
      <c r="U416" s="6" t="s">
        <v>0</v>
      </c>
      <c r="V416" s="6" t="s">
        <v>0</v>
      </c>
    </row>
    <row r="417" spans="1:22" x14ac:dyDescent="0.3">
      <c r="A417" s="11" t="s">
        <v>465</v>
      </c>
      <c r="B417" s="6" t="s">
        <v>467</v>
      </c>
      <c r="C417" s="7">
        <v>1</v>
      </c>
      <c r="D417" s="6" t="s">
        <v>4</v>
      </c>
      <c r="E417" s="8">
        <v>6000</v>
      </c>
      <c r="F417" s="8">
        <v>6000</v>
      </c>
      <c r="H417" s="9">
        <f t="shared" si="6"/>
        <v>6000</v>
      </c>
      <c r="I417" s="6" t="s">
        <v>0</v>
      </c>
      <c r="J417" s="6" t="s">
        <v>0</v>
      </c>
      <c r="L417" s="6" t="s">
        <v>0</v>
      </c>
      <c r="M417" s="6" t="s">
        <v>0</v>
      </c>
      <c r="O417" s="8">
        <v>6000</v>
      </c>
      <c r="P417" s="8">
        <v>6000</v>
      </c>
      <c r="Q417" s="8"/>
      <c r="R417" s="6" t="s">
        <v>0</v>
      </c>
      <c r="S417" s="6" t="s">
        <v>0</v>
      </c>
      <c r="U417" s="6" t="s">
        <v>0</v>
      </c>
      <c r="V417" s="6" t="s">
        <v>0</v>
      </c>
    </row>
    <row r="418" spans="1:22" x14ac:dyDescent="0.3">
      <c r="A418" s="11" t="s">
        <v>468</v>
      </c>
      <c r="B418" s="6" t="s">
        <v>469</v>
      </c>
      <c r="C418" s="7">
        <v>48</v>
      </c>
      <c r="D418" s="6" t="s">
        <v>45</v>
      </c>
      <c r="E418" s="8">
        <v>237.6</v>
      </c>
      <c r="F418" s="8">
        <v>11404.8</v>
      </c>
      <c r="G418" s="7"/>
      <c r="H418" s="9">
        <f t="shared" si="6"/>
        <v>11404.8</v>
      </c>
      <c r="I418" s="8">
        <v>12.6</v>
      </c>
      <c r="J418" s="8">
        <v>604.79999999999995</v>
      </c>
      <c r="K418" s="8"/>
      <c r="L418" s="8">
        <v>225</v>
      </c>
      <c r="M418" s="8">
        <v>10800</v>
      </c>
      <c r="N418" s="8"/>
      <c r="O418" s="6" t="s">
        <v>0</v>
      </c>
      <c r="P418" s="6" t="s">
        <v>0</v>
      </c>
      <c r="R418" s="6" t="s">
        <v>0</v>
      </c>
      <c r="S418" s="6" t="s">
        <v>0</v>
      </c>
      <c r="U418" s="6" t="s">
        <v>0</v>
      </c>
      <c r="V418" s="6" t="s">
        <v>0</v>
      </c>
    </row>
    <row r="419" spans="1:22" x14ac:dyDescent="0.3">
      <c r="A419" s="11" t="s">
        <v>468</v>
      </c>
      <c r="B419" s="6" t="s">
        <v>470</v>
      </c>
      <c r="C419" s="7">
        <v>48</v>
      </c>
      <c r="D419" s="6" t="s">
        <v>45</v>
      </c>
      <c r="E419" s="8">
        <v>326.60000000000002</v>
      </c>
      <c r="F419" s="8">
        <v>15676.8</v>
      </c>
      <c r="G419" s="7"/>
      <c r="H419" s="9">
        <f t="shared" si="6"/>
        <v>15676.8</v>
      </c>
      <c r="I419" s="8">
        <v>21.599999999999998</v>
      </c>
      <c r="J419" s="8">
        <v>1036.8</v>
      </c>
      <c r="K419" s="8"/>
      <c r="L419" s="8">
        <v>305</v>
      </c>
      <c r="M419" s="8">
        <v>14640</v>
      </c>
      <c r="N419" s="8"/>
      <c r="O419" s="6" t="s">
        <v>0</v>
      </c>
      <c r="P419" s="6" t="s">
        <v>0</v>
      </c>
      <c r="R419" s="6" t="s">
        <v>0</v>
      </c>
      <c r="S419" s="6" t="s">
        <v>0</v>
      </c>
      <c r="U419" s="6" t="s">
        <v>0</v>
      </c>
      <c r="V419" s="6" t="s">
        <v>0</v>
      </c>
    </row>
    <row r="420" spans="1:22" x14ac:dyDescent="0.3">
      <c r="A420" s="11" t="s">
        <v>468</v>
      </c>
      <c r="B420" s="6" t="s">
        <v>471</v>
      </c>
      <c r="C420" s="7">
        <v>43</v>
      </c>
      <c r="D420" s="6" t="s">
        <v>45</v>
      </c>
      <c r="E420" s="8">
        <v>261.60000000000002</v>
      </c>
      <c r="F420" s="8">
        <v>11248.8</v>
      </c>
      <c r="G420" s="7"/>
      <c r="H420" s="9">
        <f t="shared" si="6"/>
        <v>11248.8</v>
      </c>
      <c r="I420" s="8">
        <v>21.599999999999998</v>
      </c>
      <c r="J420" s="8">
        <v>928.8</v>
      </c>
      <c r="K420" s="8"/>
      <c r="L420" s="8">
        <v>240</v>
      </c>
      <c r="M420" s="8">
        <v>10320</v>
      </c>
      <c r="N420" s="8"/>
      <c r="O420" s="6" t="s">
        <v>0</v>
      </c>
      <c r="P420" s="6" t="s">
        <v>0</v>
      </c>
      <c r="R420" s="6" t="s">
        <v>0</v>
      </c>
      <c r="S420" s="6" t="s">
        <v>0</v>
      </c>
      <c r="U420" s="6" t="s">
        <v>0</v>
      </c>
      <c r="V420" s="6" t="s">
        <v>0</v>
      </c>
    </row>
    <row r="421" spans="1:22" x14ac:dyDescent="0.3">
      <c r="A421" s="11" t="s">
        <v>468</v>
      </c>
      <c r="B421" s="6" t="s">
        <v>472</v>
      </c>
      <c r="C421" s="7">
        <v>1</v>
      </c>
      <c r="D421" s="6" t="s">
        <v>45</v>
      </c>
      <c r="E421" s="8">
        <v>1716</v>
      </c>
      <c r="F421" s="8">
        <v>1716</v>
      </c>
      <c r="G421" s="7"/>
      <c r="H421" s="9">
        <f t="shared" si="6"/>
        <v>1716</v>
      </c>
      <c r="I421" s="8">
        <v>216</v>
      </c>
      <c r="J421" s="8">
        <v>216</v>
      </c>
      <c r="K421" s="8"/>
      <c r="L421" s="8">
        <v>1500</v>
      </c>
      <c r="M421" s="8">
        <v>1500</v>
      </c>
      <c r="N421" s="8"/>
      <c r="O421" s="6" t="s">
        <v>0</v>
      </c>
      <c r="P421" s="6" t="s">
        <v>0</v>
      </c>
      <c r="R421" s="6" t="s">
        <v>0</v>
      </c>
      <c r="S421" s="6" t="s">
        <v>0</v>
      </c>
      <c r="U421" s="6" t="s">
        <v>0</v>
      </c>
      <c r="V421" s="6" t="s">
        <v>0</v>
      </c>
    </row>
    <row r="422" spans="1:22" x14ac:dyDescent="0.3">
      <c r="A422" s="11" t="s">
        <v>473</v>
      </c>
      <c r="B422" s="6" t="s">
        <v>474</v>
      </c>
      <c r="C422" s="7">
        <v>48</v>
      </c>
      <c r="D422" s="6" t="s">
        <v>45</v>
      </c>
      <c r="E422" s="8">
        <v>42</v>
      </c>
      <c r="F422" s="8">
        <v>2016</v>
      </c>
      <c r="G422" s="7"/>
      <c r="H422" s="9">
        <f t="shared" si="6"/>
        <v>2016</v>
      </c>
      <c r="I422" s="8">
        <v>18</v>
      </c>
      <c r="J422" s="8">
        <v>864</v>
      </c>
      <c r="K422" s="8"/>
      <c r="L422" s="8">
        <v>24</v>
      </c>
      <c r="M422" s="8">
        <v>1152</v>
      </c>
      <c r="N422" s="8"/>
      <c r="O422" s="6" t="s">
        <v>0</v>
      </c>
      <c r="P422" s="6" t="s">
        <v>0</v>
      </c>
      <c r="R422" s="6" t="s">
        <v>0</v>
      </c>
      <c r="S422" s="6" t="s">
        <v>0</v>
      </c>
      <c r="U422" s="6" t="s">
        <v>0</v>
      </c>
      <c r="V422" s="6" t="s">
        <v>0</v>
      </c>
    </row>
    <row r="423" spans="1:22" x14ac:dyDescent="0.3">
      <c r="A423" s="11" t="s">
        <v>473</v>
      </c>
      <c r="B423" s="6" t="s">
        <v>475</v>
      </c>
      <c r="C423" s="7">
        <v>5</v>
      </c>
      <c r="D423" s="6" t="s">
        <v>45</v>
      </c>
      <c r="E423" s="8">
        <v>170.4</v>
      </c>
      <c r="F423" s="8">
        <v>852</v>
      </c>
      <c r="G423" s="7"/>
      <c r="H423" s="9">
        <f t="shared" si="6"/>
        <v>852</v>
      </c>
      <c r="I423" s="8">
        <v>50.4</v>
      </c>
      <c r="J423" s="8">
        <v>252</v>
      </c>
      <c r="K423" s="8"/>
      <c r="L423" s="8">
        <v>120</v>
      </c>
      <c r="M423" s="8">
        <v>600</v>
      </c>
      <c r="N423" s="8"/>
      <c r="O423" s="6" t="s">
        <v>0</v>
      </c>
      <c r="P423" s="6" t="s">
        <v>0</v>
      </c>
      <c r="R423" s="6" t="s">
        <v>0</v>
      </c>
      <c r="S423" s="6" t="s">
        <v>0</v>
      </c>
      <c r="U423" s="6" t="s">
        <v>0</v>
      </c>
      <c r="V423" s="6" t="s">
        <v>0</v>
      </c>
    </row>
    <row r="424" spans="1:22" x14ac:dyDescent="0.3">
      <c r="A424" s="11" t="s">
        <v>473</v>
      </c>
      <c r="B424" s="6" t="s">
        <v>476</v>
      </c>
      <c r="C424" s="7">
        <v>43</v>
      </c>
      <c r="D424" s="6" t="s">
        <v>45</v>
      </c>
      <c r="E424" s="8">
        <v>78.8</v>
      </c>
      <c r="F424" s="8">
        <v>3388.4</v>
      </c>
      <c r="G424" s="7"/>
      <c r="H424" s="9">
        <f t="shared" si="6"/>
        <v>3388.4</v>
      </c>
      <c r="I424" s="8">
        <v>28.8</v>
      </c>
      <c r="J424" s="8">
        <v>1238.4000000000001</v>
      </c>
      <c r="K424" s="8"/>
      <c r="L424" s="8">
        <v>50</v>
      </c>
      <c r="M424" s="8">
        <v>2150</v>
      </c>
      <c r="N424" s="8"/>
      <c r="O424" s="6" t="s">
        <v>0</v>
      </c>
      <c r="P424" s="6" t="s">
        <v>0</v>
      </c>
      <c r="R424" s="6" t="s">
        <v>0</v>
      </c>
      <c r="S424" s="6" t="s">
        <v>0</v>
      </c>
      <c r="U424" s="6" t="s">
        <v>0</v>
      </c>
      <c r="V424" s="6" t="s">
        <v>0</v>
      </c>
    </row>
    <row r="425" spans="1:22" x14ac:dyDescent="0.3">
      <c r="A425" s="11" t="s">
        <v>473</v>
      </c>
      <c r="B425" s="6" t="s">
        <v>477</v>
      </c>
      <c r="C425" s="7">
        <v>43</v>
      </c>
      <c r="D425" s="6" t="s">
        <v>45</v>
      </c>
      <c r="E425" s="8">
        <v>68</v>
      </c>
      <c r="F425" s="8">
        <v>2924</v>
      </c>
      <c r="G425" s="7"/>
      <c r="H425" s="9">
        <f t="shared" si="6"/>
        <v>2924</v>
      </c>
      <c r="I425" s="8">
        <v>18</v>
      </c>
      <c r="J425" s="8">
        <v>774</v>
      </c>
      <c r="K425" s="8"/>
      <c r="L425" s="8">
        <v>50</v>
      </c>
      <c r="M425" s="8">
        <v>2150</v>
      </c>
      <c r="N425" s="8"/>
      <c r="O425" s="6" t="s">
        <v>0</v>
      </c>
      <c r="P425" s="6" t="s">
        <v>0</v>
      </c>
      <c r="R425" s="6" t="s">
        <v>0</v>
      </c>
      <c r="S425" s="6" t="s">
        <v>0</v>
      </c>
      <c r="U425" s="6" t="s">
        <v>0</v>
      </c>
      <c r="V425" s="6" t="s">
        <v>0</v>
      </c>
    </row>
    <row r="426" spans="1:22" x14ac:dyDescent="0.3">
      <c r="A426" s="11" t="s">
        <v>473</v>
      </c>
      <c r="B426" s="6" t="s">
        <v>478</v>
      </c>
      <c r="C426" s="7">
        <v>314.2181175358437</v>
      </c>
      <c r="D426" s="6" t="s">
        <v>65</v>
      </c>
      <c r="E426" s="8">
        <v>13.5</v>
      </c>
      <c r="F426" s="8">
        <v>4241.94458673389</v>
      </c>
      <c r="H426" s="9">
        <f t="shared" si="6"/>
        <v>4241.94458673389</v>
      </c>
      <c r="I426" s="6" t="s">
        <v>0</v>
      </c>
      <c r="J426" s="6" t="s">
        <v>0</v>
      </c>
      <c r="L426" s="6" t="s">
        <v>0</v>
      </c>
      <c r="M426" s="6" t="s">
        <v>0</v>
      </c>
      <c r="O426" s="8">
        <v>13.5</v>
      </c>
      <c r="P426" s="8">
        <v>4241.94458673389</v>
      </c>
      <c r="Q426" s="8"/>
      <c r="R426" s="6" t="s">
        <v>0</v>
      </c>
      <c r="S426" s="6" t="s">
        <v>0</v>
      </c>
      <c r="U426" s="6" t="s">
        <v>0</v>
      </c>
      <c r="V426" s="6" t="s">
        <v>0</v>
      </c>
    </row>
    <row r="427" spans="1:22" x14ac:dyDescent="0.3">
      <c r="A427" s="11" t="s">
        <v>473</v>
      </c>
      <c r="B427" s="6" t="s">
        <v>479</v>
      </c>
      <c r="C427" s="7">
        <v>1</v>
      </c>
      <c r="D427" s="6" t="s">
        <v>4</v>
      </c>
      <c r="E427" s="8">
        <v>730</v>
      </c>
      <c r="F427" s="8">
        <v>730</v>
      </c>
      <c r="H427" s="9">
        <f t="shared" si="6"/>
        <v>730</v>
      </c>
      <c r="I427" s="6" t="s">
        <v>0</v>
      </c>
      <c r="J427" s="6" t="s">
        <v>0</v>
      </c>
      <c r="L427" s="8">
        <v>730</v>
      </c>
      <c r="M427" s="8">
        <v>730</v>
      </c>
      <c r="N427" s="8"/>
      <c r="O427" s="6" t="s">
        <v>0</v>
      </c>
      <c r="P427" s="6" t="s">
        <v>0</v>
      </c>
      <c r="R427" s="6" t="s">
        <v>0</v>
      </c>
      <c r="S427" s="6" t="s">
        <v>0</v>
      </c>
      <c r="U427" s="6" t="s">
        <v>0</v>
      </c>
      <c r="V427" s="6" t="s">
        <v>0</v>
      </c>
    </row>
    <row r="428" spans="1:22" x14ac:dyDescent="0.3">
      <c r="A428" s="11" t="s">
        <v>473</v>
      </c>
      <c r="B428" s="6" t="s">
        <v>480</v>
      </c>
      <c r="C428" s="7">
        <v>90</v>
      </c>
      <c r="D428" s="6" t="s">
        <v>45</v>
      </c>
      <c r="E428" s="8">
        <v>125.51111111111112</v>
      </c>
      <c r="F428" s="8">
        <v>11296</v>
      </c>
      <c r="G428" s="7"/>
      <c r="H428" s="9">
        <f t="shared" si="6"/>
        <v>11296</v>
      </c>
      <c r="I428" s="8">
        <v>13.511111111111113</v>
      </c>
      <c r="J428" s="8">
        <v>1216.0000000000002</v>
      </c>
      <c r="K428" s="8"/>
      <c r="L428" s="8">
        <v>112</v>
      </c>
      <c r="M428" s="8">
        <v>10080</v>
      </c>
      <c r="N428" s="8"/>
      <c r="O428" s="6" t="s">
        <v>0</v>
      </c>
      <c r="P428" s="6" t="s">
        <v>0</v>
      </c>
      <c r="R428" s="6" t="s">
        <v>0</v>
      </c>
      <c r="S428" s="6" t="s">
        <v>0</v>
      </c>
      <c r="U428" s="6" t="s">
        <v>0</v>
      </c>
      <c r="V428" s="6" t="s">
        <v>0</v>
      </c>
    </row>
    <row r="429" spans="1:22" x14ac:dyDescent="0.3">
      <c r="A429" s="11" t="s">
        <v>473</v>
      </c>
      <c r="B429" s="6" t="s">
        <v>481</v>
      </c>
      <c r="C429" s="7">
        <v>1</v>
      </c>
      <c r="D429" s="6" t="s">
        <v>4</v>
      </c>
      <c r="E429" s="8">
        <v>500</v>
      </c>
      <c r="F429" s="8">
        <v>500</v>
      </c>
      <c r="H429" s="9">
        <f t="shared" si="6"/>
        <v>500</v>
      </c>
      <c r="I429" s="6" t="s">
        <v>0</v>
      </c>
      <c r="J429" s="6" t="s">
        <v>0</v>
      </c>
      <c r="L429" s="8">
        <v>500</v>
      </c>
      <c r="M429" s="8">
        <v>500</v>
      </c>
      <c r="N429" s="8"/>
      <c r="O429" s="6" t="s">
        <v>0</v>
      </c>
      <c r="P429" s="6" t="s">
        <v>0</v>
      </c>
      <c r="R429" s="6" t="s">
        <v>0</v>
      </c>
      <c r="S429" s="6" t="s">
        <v>0</v>
      </c>
      <c r="U429" s="6" t="s">
        <v>0</v>
      </c>
      <c r="V429" s="6" t="s">
        <v>0</v>
      </c>
    </row>
    <row r="430" spans="1:22" x14ac:dyDescent="0.3">
      <c r="A430" s="11" t="s">
        <v>473</v>
      </c>
      <c r="B430" s="6" t="s">
        <v>482</v>
      </c>
      <c r="C430" s="7">
        <v>1</v>
      </c>
      <c r="D430" s="6" t="s">
        <v>4</v>
      </c>
      <c r="E430" s="8">
        <v>500</v>
      </c>
      <c r="F430" s="8">
        <v>500</v>
      </c>
      <c r="H430" s="9">
        <f t="shared" si="6"/>
        <v>500</v>
      </c>
      <c r="I430" s="6" t="s">
        <v>0</v>
      </c>
      <c r="J430" s="6" t="s">
        <v>0</v>
      </c>
      <c r="L430" s="8">
        <v>500</v>
      </c>
      <c r="M430" s="8">
        <v>500</v>
      </c>
      <c r="N430" s="8"/>
      <c r="O430" s="6" t="s">
        <v>0</v>
      </c>
      <c r="P430" s="6" t="s">
        <v>0</v>
      </c>
      <c r="R430" s="6" t="s">
        <v>0</v>
      </c>
      <c r="S430" s="6" t="s">
        <v>0</v>
      </c>
      <c r="U430" s="6" t="s">
        <v>0</v>
      </c>
      <c r="V430" s="6" t="s">
        <v>0</v>
      </c>
    </row>
    <row r="431" spans="1:22" x14ac:dyDescent="0.3">
      <c r="A431" s="11" t="s">
        <v>483</v>
      </c>
      <c r="B431" s="6" t="s">
        <v>484</v>
      </c>
      <c r="C431" s="7">
        <v>16</v>
      </c>
      <c r="D431" s="6" t="s">
        <v>45</v>
      </c>
      <c r="E431" s="8">
        <v>238.3</v>
      </c>
      <c r="F431" s="8">
        <v>3812.8</v>
      </c>
      <c r="G431" s="7"/>
      <c r="H431" s="9">
        <f t="shared" si="6"/>
        <v>3812.8</v>
      </c>
      <c r="I431" s="8">
        <v>13.299999999999999</v>
      </c>
      <c r="J431" s="8">
        <v>212.79999999999998</v>
      </c>
      <c r="K431" s="8"/>
      <c r="L431" s="8">
        <v>225</v>
      </c>
      <c r="M431" s="8">
        <v>3600</v>
      </c>
      <c r="N431" s="8"/>
      <c r="O431" s="6" t="s">
        <v>0</v>
      </c>
      <c r="P431" s="6" t="s">
        <v>0</v>
      </c>
      <c r="R431" s="6" t="s">
        <v>0</v>
      </c>
      <c r="S431" s="6" t="s">
        <v>0</v>
      </c>
      <c r="U431" s="6" t="s">
        <v>0</v>
      </c>
      <c r="V431" s="6" t="s">
        <v>0</v>
      </c>
    </row>
    <row r="432" spans="1:22" x14ac:dyDescent="0.3">
      <c r="A432" s="11" t="s">
        <v>483</v>
      </c>
      <c r="B432" s="6" t="s">
        <v>485</v>
      </c>
      <c r="C432" s="7">
        <v>1</v>
      </c>
      <c r="D432" s="6" t="s">
        <v>45</v>
      </c>
      <c r="E432" s="8">
        <v>753.3</v>
      </c>
      <c r="F432" s="8">
        <v>753.3</v>
      </c>
      <c r="G432" s="7"/>
      <c r="H432" s="9">
        <f t="shared" si="6"/>
        <v>753.3</v>
      </c>
      <c r="I432" s="8">
        <v>13.299999999999999</v>
      </c>
      <c r="J432" s="8">
        <v>13.299999999999999</v>
      </c>
      <c r="K432" s="8"/>
      <c r="L432" s="8">
        <v>740</v>
      </c>
      <c r="M432" s="8">
        <v>740</v>
      </c>
      <c r="N432" s="8"/>
      <c r="O432" s="6" t="s">
        <v>0</v>
      </c>
      <c r="P432" s="6" t="s">
        <v>0</v>
      </c>
      <c r="R432" s="6" t="s">
        <v>0</v>
      </c>
      <c r="S432" s="6" t="s">
        <v>0</v>
      </c>
      <c r="U432" s="6" t="s">
        <v>0</v>
      </c>
      <c r="V432" s="6" t="s">
        <v>0</v>
      </c>
    </row>
    <row r="433" spans="1:22" x14ac:dyDescent="0.3">
      <c r="A433" s="11" t="s">
        <v>486</v>
      </c>
      <c r="B433" s="6" t="s">
        <v>487</v>
      </c>
      <c r="C433" s="7">
        <v>172</v>
      </c>
      <c r="D433" s="6" t="s">
        <v>45</v>
      </c>
      <c r="E433" s="8">
        <v>40</v>
      </c>
      <c r="F433" s="8">
        <v>6880</v>
      </c>
      <c r="H433" s="9">
        <f t="shared" si="6"/>
        <v>6880</v>
      </c>
      <c r="I433" s="6" t="s">
        <v>0</v>
      </c>
      <c r="J433" s="6" t="s">
        <v>0</v>
      </c>
      <c r="L433" s="6" t="s">
        <v>0</v>
      </c>
      <c r="M433" s="6" t="s">
        <v>0</v>
      </c>
      <c r="O433" s="8">
        <v>40</v>
      </c>
      <c r="P433" s="8">
        <v>6880</v>
      </c>
      <c r="Q433" s="8"/>
      <c r="R433" s="6" t="s">
        <v>0</v>
      </c>
      <c r="S433" s="6" t="s">
        <v>0</v>
      </c>
      <c r="U433" s="6" t="s">
        <v>0</v>
      </c>
      <c r="V433" s="6" t="s">
        <v>0</v>
      </c>
    </row>
    <row r="434" spans="1:22" x14ac:dyDescent="0.3">
      <c r="A434" s="11" t="s">
        <v>486</v>
      </c>
      <c r="B434" s="6" t="s">
        <v>488</v>
      </c>
      <c r="C434" s="7">
        <v>43</v>
      </c>
      <c r="D434" s="6" t="s">
        <v>4</v>
      </c>
      <c r="E434" s="8">
        <v>807.69767441860472</v>
      </c>
      <c r="F434" s="8">
        <v>34731</v>
      </c>
      <c r="H434" s="9">
        <f t="shared" si="6"/>
        <v>34731</v>
      </c>
      <c r="I434" s="6" t="s">
        <v>0</v>
      </c>
      <c r="J434" s="6" t="s">
        <v>0</v>
      </c>
      <c r="L434" s="8">
        <v>807.69767441860461</v>
      </c>
      <c r="M434" s="8">
        <v>34731</v>
      </c>
      <c r="N434" s="8"/>
      <c r="O434" s="6" t="s">
        <v>0</v>
      </c>
      <c r="P434" s="6" t="s">
        <v>0</v>
      </c>
      <c r="R434" s="6" t="s">
        <v>0</v>
      </c>
      <c r="S434" s="6" t="s">
        <v>0</v>
      </c>
      <c r="U434" s="6" t="s">
        <v>0</v>
      </c>
      <c r="V434" s="6" t="s">
        <v>0</v>
      </c>
    </row>
    <row r="435" spans="1:22" x14ac:dyDescent="0.3">
      <c r="A435" s="11" t="s">
        <v>489</v>
      </c>
      <c r="B435" s="6" t="s">
        <v>490</v>
      </c>
      <c r="C435" s="7">
        <v>1</v>
      </c>
      <c r="D435" s="6" t="s">
        <v>4</v>
      </c>
      <c r="E435" s="8">
        <v>18000</v>
      </c>
      <c r="F435" s="8">
        <v>18000</v>
      </c>
      <c r="H435" s="9">
        <f t="shared" si="6"/>
        <v>18000</v>
      </c>
      <c r="I435" s="6" t="s">
        <v>0</v>
      </c>
      <c r="J435" s="6" t="s">
        <v>0</v>
      </c>
      <c r="L435" s="6" t="s">
        <v>0</v>
      </c>
      <c r="M435" s="6" t="s">
        <v>0</v>
      </c>
      <c r="O435" s="8">
        <v>18000</v>
      </c>
      <c r="P435" s="8">
        <v>18000</v>
      </c>
      <c r="Q435" s="8"/>
      <c r="R435" s="6" t="s">
        <v>0</v>
      </c>
      <c r="S435" s="6" t="s">
        <v>0</v>
      </c>
      <c r="U435" s="6" t="s">
        <v>0</v>
      </c>
      <c r="V435" s="6" t="s">
        <v>0</v>
      </c>
    </row>
    <row r="436" spans="1:22" x14ac:dyDescent="0.3">
      <c r="A436" s="11" t="s">
        <v>491</v>
      </c>
      <c r="B436" s="6" t="s">
        <v>492</v>
      </c>
      <c r="C436" s="7">
        <v>43</v>
      </c>
      <c r="D436" s="6" t="s">
        <v>331</v>
      </c>
      <c r="E436" s="8">
        <v>11488.372093023256</v>
      </c>
      <c r="F436" s="8">
        <v>494000</v>
      </c>
      <c r="H436" s="9">
        <f t="shared" si="6"/>
        <v>494000</v>
      </c>
      <c r="I436" s="6" t="s">
        <v>0</v>
      </c>
      <c r="J436" s="6" t="s">
        <v>0</v>
      </c>
      <c r="L436" s="6" t="s">
        <v>0</v>
      </c>
      <c r="M436" s="6" t="s">
        <v>0</v>
      </c>
      <c r="O436" s="8">
        <v>11488.372093023256</v>
      </c>
      <c r="P436" s="8">
        <v>494000</v>
      </c>
      <c r="Q436" s="8"/>
      <c r="R436" s="6" t="s">
        <v>0</v>
      </c>
      <c r="S436" s="6" t="s">
        <v>0</v>
      </c>
      <c r="U436" s="6" t="s">
        <v>0</v>
      </c>
      <c r="V436" s="6" t="s">
        <v>0</v>
      </c>
    </row>
    <row r="437" spans="1:22" x14ac:dyDescent="0.3">
      <c r="A437" s="11" t="s">
        <v>493</v>
      </c>
      <c r="B437" s="6" t="s">
        <v>494</v>
      </c>
      <c r="C437" s="7">
        <v>43</v>
      </c>
      <c r="D437" s="6" t="s">
        <v>331</v>
      </c>
      <c r="E437" s="8">
        <v>4976.7441860465115</v>
      </c>
      <c r="F437" s="8">
        <v>214000</v>
      </c>
      <c r="H437" s="9">
        <f t="shared" si="6"/>
        <v>214000</v>
      </c>
      <c r="I437" s="6" t="s">
        <v>0</v>
      </c>
      <c r="J437" s="6" t="s">
        <v>0</v>
      </c>
      <c r="L437" s="6" t="s">
        <v>0</v>
      </c>
      <c r="M437" s="6" t="s">
        <v>0</v>
      </c>
      <c r="O437" s="8">
        <v>4976.7441860465115</v>
      </c>
      <c r="P437" s="8">
        <v>214000</v>
      </c>
      <c r="Q437" s="8"/>
      <c r="R437" s="6" t="s">
        <v>0</v>
      </c>
      <c r="S437" s="6" t="s">
        <v>0</v>
      </c>
      <c r="U437" s="6" t="s">
        <v>0</v>
      </c>
      <c r="V437" s="6" t="s">
        <v>0</v>
      </c>
    </row>
    <row r="438" spans="1:22" x14ac:dyDescent="0.3">
      <c r="A438" s="11" t="s">
        <v>495</v>
      </c>
      <c r="B438" s="6" t="s">
        <v>496</v>
      </c>
      <c r="C438" s="7">
        <v>1</v>
      </c>
      <c r="D438" s="6" t="s">
        <v>4</v>
      </c>
      <c r="E438" s="8">
        <v>33500</v>
      </c>
      <c r="F438" s="8">
        <v>33500</v>
      </c>
      <c r="H438" s="9">
        <f t="shared" si="6"/>
        <v>33500</v>
      </c>
      <c r="I438" s="6" t="s">
        <v>0</v>
      </c>
      <c r="J438" s="6" t="s">
        <v>0</v>
      </c>
      <c r="L438" s="6" t="s">
        <v>0</v>
      </c>
      <c r="M438" s="6" t="s">
        <v>0</v>
      </c>
      <c r="O438" s="8">
        <v>33500</v>
      </c>
      <c r="P438" s="8">
        <v>33500</v>
      </c>
      <c r="Q438" s="8"/>
      <c r="R438" s="6" t="s">
        <v>0</v>
      </c>
      <c r="S438" s="6" t="s">
        <v>0</v>
      </c>
      <c r="U438" s="6" t="s">
        <v>0</v>
      </c>
      <c r="V438" s="6" t="s">
        <v>0</v>
      </c>
    </row>
    <row r="439" spans="1:22" x14ac:dyDescent="0.3">
      <c r="A439" s="11" t="s">
        <v>497</v>
      </c>
      <c r="B439" s="6" t="s">
        <v>498</v>
      </c>
      <c r="C439" s="7">
        <v>3307.5</v>
      </c>
      <c r="D439" s="6" t="s">
        <v>499</v>
      </c>
      <c r="E439" s="8">
        <v>2.5</v>
      </c>
      <c r="F439" s="8">
        <v>8268.75</v>
      </c>
      <c r="H439" s="9">
        <f t="shared" si="6"/>
        <v>8268.75</v>
      </c>
      <c r="I439" s="6" t="s">
        <v>0</v>
      </c>
      <c r="J439" s="6" t="s">
        <v>0</v>
      </c>
      <c r="L439" s="6" t="s">
        <v>0</v>
      </c>
      <c r="M439" s="6" t="s">
        <v>0</v>
      </c>
      <c r="O439" s="8">
        <v>2.5</v>
      </c>
      <c r="P439" s="8">
        <v>8268.75</v>
      </c>
      <c r="Q439" s="8"/>
      <c r="R439" s="6" t="s">
        <v>0</v>
      </c>
      <c r="S439" s="6" t="s">
        <v>0</v>
      </c>
      <c r="U439" s="6" t="s">
        <v>0</v>
      </c>
      <c r="V439" s="6" t="s">
        <v>0</v>
      </c>
    </row>
    <row r="440" spans="1:22" x14ac:dyDescent="0.3">
      <c r="A440" s="11" t="s">
        <v>500</v>
      </c>
      <c r="B440" s="6" t="s">
        <v>501</v>
      </c>
      <c r="C440" s="7">
        <v>3307.5</v>
      </c>
      <c r="D440" s="6" t="s">
        <v>499</v>
      </c>
      <c r="E440" s="8">
        <v>1.9000000000000001</v>
      </c>
      <c r="F440" s="8">
        <v>6284.25</v>
      </c>
      <c r="G440" s="7"/>
      <c r="H440" s="9">
        <f t="shared" si="6"/>
        <v>6284.25</v>
      </c>
      <c r="I440" s="8">
        <v>1.9</v>
      </c>
      <c r="J440" s="8">
        <v>6284.25</v>
      </c>
      <c r="K440" s="8"/>
      <c r="L440" s="6" t="s">
        <v>0</v>
      </c>
      <c r="M440" s="6" t="s">
        <v>0</v>
      </c>
      <c r="O440" s="6" t="s">
        <v>0</v>
      </c>
      <c r="P440" s="6" t="s">
        <v>0</v>
      </c>
      <c r="R440" s="6" t="s">
        <v>0</v>
      </c>
      <c r="S440" s="6" t="s">
        <v>0</v>
      </c>
      <c r="U440" s="6" t="s">
        <v>0</v>
      </c>
      <c r="V440" s="6" t="s">
        <v>0</v>
      </c>
    </row>
    <row r="441" spans="1:22" x14ac:dyDescent="0.3">
      <c r="A441" s="11" t="s">
        <v>502</v>
      </c>
      <c r="B441" s="6" t="s">
        <v>503</v>
      </c>
      <c r="C441" s="7">
        <v>12</v>
      </c>
      <c r="D441" s="6" t="s">
        <v>43</v>
      </c>
      <c r="E441" s="8">
        <v>1285</v>
      </c>
      <c r="F441" s="8">
        <v>15420</v>
      </c>
      <c r="H441" s="9">
        <f t="shared" si="6"/>
        <v>15420</v>
      </c>
      <c r="I441" s="6" t="s">
        <v>0</v>
      </c>
      <c r="J441" s="6" t="s">
        <v>0</v>
      </c>
      <c r="L441" s="6" t="s">
        <v>0</v>
      </c>
      <c r="M441" s="6" t="s">
        <v>0</v>
      </c>
      <c r="O441" s="6" t="s">
        <v>0</v>
      </c>
      <c r="P441" s="6" t="s">
        <v>0</v>
      </c>
      <c r="R441" s="8">
        <v>1285</v>
      </c>
      <c r="S441" s="8">
        <v>15420</v>
      </c>
      <c r="T441" s="8"/>
      <c r="U441" s="6" t="s">
        <v>0</v>
      </c>
      <c r="V441" s="6" t="s">
        <v>0</v>
      </c>
    </row>
    <row r="442" spans="1:22" x14ac:dyDescent="0.3">
      <c r="A442" s="11" t="s">
        <v>502</v>
      </c>
      <c r="B442" s="6" t="s">
        <v>504</v>
      </c>
      <c r="C442" s="7">
        <v>9</v>
      </c>
      <c r="D442" s="6" t="s">
        <v>45</v>
      </c>
      <c r="E442" s="8">
        <v>1397.3333333333333</v>
      </c>
      <c r="F442" s="8">
        <v>12576</v>
      </c>
      <c r="G442" s="7"/>
      <c r="H442" s="9">
        <f t="shared" si="6"/>
        <v>12576</v>
      </c>
      <c r="I442" s="8">
        <v>54</v>
      </c>
      <c r="J442" s="8">
        <v>486</v>
      </c>
      <c r="K442" s="8"/>
      <c r="L442" s="8">
        <v>51.1111111111111</v>
      </c>
      <c r="M442" s="8">
        <v>459.99999999999989</v>
      </c>
      <c r="N442" s="8"/>
      <c r="O442" s="8">
        <v>1292.2222222222222</v>
      </c>
      <c r="P442" s="8">
        <v>11630</v>
      </c>
      <c r="Q442" s="8"/>
      <c r="R442" s="6" t="s">
        <v>0</v>
      </c>
      <c r="S442" s="6" t="s">
        <v>0</v>
      </c>
      <c r="U442" s="6" t="s">
        <v>0</v>
      </c>
      <c r="V442" s="6" t="s">
        <v>0</v>
      </c>
    </row>
    <row r="443" spans="1:22" x14ac:dyDescent="0.3">
      <c r="A443" s="11" t="s">
        <v>505</v>
      </c>
      <c r="B443" s="6" t="s">
        <v>506</v>
      </c>
      <c r="C443" s="7">
        <v>67</v>
      </c>
      <c r="D443" s="6" t="s">
        <v>507</v>
      </c>
      <c r="E443" s="8">
        <v>22.5</v>
      </c>
      <c r="F443" s="8">
        <v>1507.5</v>
      </c>
      <c r="H443" s="9">
        <f t="shared" si="6"/>
        <v>1507.5</v>
      </c>
      <c r="I443" s="6" t="s">
        <v>0</v>
      </c>
      <c r="J443" s="6" t="s">
        <v>0</v>
      </c>
      <c r="L443" s="6" t="s">
        <v>0</v>
      </c>
      <c r="M443" s="6" t="s">
        <v>0</v>
      </c>
      <c r="O443" s="6" t="s">
        <v>0</v>
      </c>
      <c r="P443" s="6" t="s">
        <v>0</v>
      </c>
      <c r="R443" s="6" t="s">
        <v>0</v>
      </c>
      <c r="S443" s="6" t="s">
        <v>0</v>
      </c>
      <c r="U443" s="8">
        <v>22.5</v>
      </c>
      <c r="V443" s="8">
        <v>1507.5</v>
      </c>
    </row>
    <row r="444" spans="1:22" x14ac:dyDescent="0.3">
      <c r="A444" s="11" t="s">
        <v>508</v>
      </c>
      <c r="B444" s="6" t="s">
        <v>509</v>
      </c>
      <c r="C444" s="7">
        <v>260</v>
      </c>
      <c r="D444" s="6" t="s">
        <v>65</v>
      </c>
      <c r="E444" s="8">
        <v>18.384615384615383</v>
      </c>
      <c r="F444" s="8">
        <v>4780</v>
      </c>
      <c r="H444" s="9">
        <f t="shared" si="6"/>
        <v>4780</v>
      </c>
      <c r="I444" s="6" t="s">
        <v>0</v>
      </c>
      <c r="J444" s="6" t="s">
        <v>0</v>
      </c>
      <c r="L444" s="6" t="s">
        <v>0</v>
      </c>
      <c r="M444" s="6" t="s">
        <v>0</v>
      </c>
      <c r="O444" s="6" t="s">
        <v>0</v>
      </c>
      <c r="P444" s="6" t="s">
        <v>0</v>
      </c>
      <c r="R444" s="8">
        <v>18.384615384615383</v>
      </c>
      <c r="S444" s="8">
        <v>4780</v>
      </c>
      <c r="T444" s="8"/>
      <c r="U444" s="6" t="s">
        <v>0</v>
      </c>
      <c r="V444" s="6" t="s">
        <v>0</v>
      </c>
    </row>
    <row r="445" spans="1:22" x14ac:dyDescent="0.3">
      <c r="A445" s="11" t="s">
        <v>508</v>
      </c>
      <c r="B445" s="6" t="s">
        <v>510</v>
      </c>
      <c r="C445" s="7">
        <v>1</v>
      </c>
      <c r="D445" s="6" t="s">
        <v>4</v>
      </c>
      <c r="E445" s="8">
        <v>1142.3440000000001</v>
      </c>
      <c r="F445" s="8">
        <v>1142.3440000000001</v>
      </c>
      <c r="G445" s="7"/>
      <c r="H445" s="9">
        <f t="shared" si="6"/>
        <v>1142.3440000000001</v>
      </c>
      <c r="I445" s="8">
        <v>288.34399999999999</v>
      </c>
      <c r="J445" s="8">
        <v>288.34399999999999</v>
      </c>
      <c r="K445" s="8"/>
      <c r="L445" s="8">
        <v>854</v>
      </c>
      <c r="M445" s="8">
        <v>854</v>
      </c>
      <c r="N445" s="8"/>
      <c r="O445" s="6" t="s">
        <v>0</v>
      </c>
      <c r="P445" s="6" t="s">
        <v>0</v>
      </c>
      <c r="R445" s="6" t="s">
        <v>0</v>
      </c>
      <c r="S445" s="6" t="s">
        <v>0</v>
      </c>
      <c r="U445" s="6" t="s">
        <v>0</v>
      </c>
      <c r="V445" s="6" t="s">
        <v>0</v>
      </c>
    </row>
    <row r="446" spans="1:22" x14ac:dyDescent="0.3">
      <c r="A446" s="11" t="s">
        <v>508</v>
      </c>
      <c r="B446" s="6" t="s">
        <v>511</v>
      </c>
      <c r="C446" s="7">
        <v>1</v>
      </c>
      <c r="D446" s="6" t="s">
        <v>4</v>
      </c>
      <c r="E446" s="8">
        <v>2806</v>
      </c>
      <c r="F446" s="8">
        <v>2806</v>
      </c>
      <c r="G446" s="7"/>
      <c r="H446" s="9">
        <f t="shared" si="6"/>
        <v>2806</v>
      </c>
      <c r="I446" s="8">
        <v>646</v>
      </c>
      <c r="J446" s="8">
        <v>646</v>
      </c>
      <c r="K446" s="8"/>
      <c r="L446" s="8">
        <v>160</v>
      </c>
      <c r="M446" s="8">
        <v>160</v>
      </c>
      <c r="N446" s="8"/>
      <c r="O446" s="6" t="s">
        <v>0</v>
      </c>
      <c r="P446" s="6" t="s">
        <v>0</v>
      </c>
      <c r="R446" s="8">
        <v>2000</v>
      </c>
      <c r="S446" s="8">
        <v>2000</v>
      </c>
      <c r="T446" s="8"/>
      <c r="U446" s="6" t="s">
        <v>0</v>
      </c>
      <c r="V446" s="6" t="s">
        <v>0</v>
      </c>
    </row>
    <row r="447" spans="1:22" x14ac:dyDescent="0.3">
      <c r="A447" s="11" t="s">
        <v>512</v>
      </c>
      <c r="B447" s="6" t="s">
        <v>513</v>
      </c>
      <c r="C447" s="7">
        <v>3307.5</v>
      </c>
      <c r="D447" s="6" t="s">
        <v>499</v>
      </c>
      <c r="E447" s="8">
        <v>3.1321118298065498</v>
      </c>
      <c r="F447" s="8">
        <v>10359.459877085163</v>
      </c>
      <c r="G447" s="7"/>
      <c r="H447" s="9">
        <f t="shared" si="6"/>
        <v>10359.459877085163</v>
      </c>
      <c r="I447" s="8">
        <v>0.68934240362811805</v>
      </c>
      <c r="J447" s="8">
        <v>2280.0000000000005</v>
      </c>
      <c r="K447" s="8"/>
      <c r="L447" s="8">
        <v>2.4427694261784318</v>
      </c>
      <c r="M447" s="8">
        <v>8079.4598770851635</v>
      </c>
      <c r="N447" s="8"/>
      <c r="O447" s="6" t="s">
        <v>0</v>
      </c>
      <c r="P447" s="6" t="s">
        <v>0</v>
      </c>
      <c r="R447" s="6" t="s">
        <v>0</v>
      </c>
      <c r="S447" s="6" t="s">
        <v>0</v>
      </c>
      <c r="U447" s="6" t="s">
        <v>0</v>
      </c>
      <c r="V447" s="6" t="s">
        <v>0</v>
      </c>
    </row>
    <row r="448" spans="1:22" x14ac:dyDescent="0.3">
      <c r="A448" s="11" t="s">
        <v>514</v>
      </c>
      <c r="B448" s="6" t="s">
        <v>515</v>
      </c>
      <c r="C448" s="7">
        <v>1</v>
      </c>
      <c r="D448" s="6" t="s">
        <v>4</v>
      </c>
      <c r="E448" s="8">
        <v>14884.5</v>
      </c>
      <c r="F448" s="8">
        <v>14884.5</v>
      </c>
      <c r="G448" s="7"/>
      <c r="H448" s="9">
        <f t="shared" si="6"/>
        <v>14884.5</v>
      </c>
      <c r="I448" s="8">
        <v>4806</v>
      </c>
      <c r="J448" s="8">
        <v>4806</v>
      </c>
      <c r="K448" s="8"/>
      <c r="L448" s="8">
        <v>5362.5</v>
      </c>
      <c r="M448" s="8">
        <v>5362.5</v>
      </c>
      <c r="N448" s="8"/>
      <c r="O448" s="6" t="s">
        <v>0</v>
      </c>
      <c r="P448" s="6" t="s">
        <v>0</v>
      </c>
      <c r="R448" s="8">
        <v>4716</v>
      </c>
      <c r="S448" s="8">
        <v>4716</v>
      </c>
      <c r="T448" s="8"/>
      <c r="U448" s="6" t="s">
        <v>0</v>
      </c>
      <c r="V448" s="6" t="s">
        <v>0</v>
      </c>
    </row>
    <row r="449" spans="1:22" x14ac:dyDescent="0.3">
      <c r="A449" s="11" t="s">
        <v>514</v>
      </c>
      <c r="B449" s="6" t="s">
        <v>516</v>
      </c>
      <c r="C449" s="7">
        <v>3307.5</v>
      </c>
      <c r="D449" s="6" t="s">
        <v>47</v>
      </c>
      <c r="E449" s="8">
        <v>2.7</v>
      </c>
      <c r="F449" s="8">
        <v>8930.25</v>
      </c>
      <c r="G449" s="7"/>
      <c r="H449" s="9">
        <f t="shared" si="6"/>
        <v>8930.25</v>
      </c>
      <c r="I449" s="8">
        <v>2.7</v>
      </c>
      <c r="J449" s="8">
        <v>8930.25</v>
      </c>
      <c r="K449" s="8"/>
      <c r="L449" s="6" t="s">
        <v>0</v>
      </c>
      <c r="M449" s="6" t="s">
        <v>0</v>
      </c>
      <c r="O449" s="6" t="s">
        <v>0</v>
      </c>
      <c r="P449" s="6" t="s">
        <v>0</v>
      </c>
      <c r="R449" s="6" t="s">
        <v>0</v>
      </c>
      <c r="S449" s="6" t="s">
        <v>0</v>
      </c>
      <c r="U449" s="6" t="s">
        <v>0</v>
      </c>
      <c r="V449" s="6" t="s">
        <v>0</v>
      </c>
    </row>
    <row r="450" spans="1:22" x14ac:dyDescent="0.3">
      <c r="A450" s="11" t="s">
        <v>517</v>
      </c>
      <c r="B450" s="6" t="s">
        <v>518</v>
      </c>
      <c r="C450" s="7">
        <v>10</v>
      </c>
      <c r="D450" s="6" t="s">
        <v>43</v>
      </c>
      <c r="E450" s="8">
        <v>1230</v>
      </c>
      <c r="F450" s="8">
        <v>12300</v>
      </c>
      <c r="H450" s="9">
        <f t="shared" si="6"/>
        <v>12300</v>
      </c>
      <c r="I450" s="6" t="s">
        <v>0</v>
      </c>
      <c r="J450" s="6" t="s">
        <v>0</v>
      </c>
      <c r="L450" s="6" t="s">
        <v>0</v>
      </c>
      <c r="M450" s="6" t="s">
        <v>0</v>
      </c>
      <c r="O450" s="6" t="s">
        <v>0</v>
      </c>
      <c r="P450" s="6" t="s">
        <v>0</v>
      </c>
      <c r="R450" s="8">
        <v>1230</v>
      </c>
      <c r="S450" s="8">
        <v>12300</v>
      </c>
      <c r="T450" s="8"/>
      <c r="U450" s="6" t="s">
        <v>0</v>
      </c>
      <c r="V450" s="6" t="s">
        <v>0</v>
      </c>
    </row>
    <row r="451" spans="1:22" x14ac:dyDescent="0.3">
      <c r="A451" s="11" t="s">
        <v>517</v>
      </c>
      <c r="B451" s="6" t="s">
        <v>519</v>
      </c>
      <c r="C451" s="7">
        <v>6</v>
      </c>
      <c r="D451" s="6" t="s">
        <v>43</v>
      </c>
      <c r="E451" s="8">
        <v>6460</v>
      </c>
      <c r="F451" s="8">
        <v>38760</v>
      </c>
      <c r="H451" s="9">
        <f t="shared" si="6"/>
        <v>38760</v>
      </c>
      <c r="I451" s="6" t="s">
        <v>0</v>
      </c>
      <c r="J451" s="6" t="s">
        <v>0</v>
      </c>
      <c r="L451" s="6" t="s">
        <v>0</v>
      </c>
      <c r="M451" s="6" t="s">
        <v>0</v>
      </c>
      <c r="O451" s="6" t="s">
        <v>0</v>
      </c>
      <c r="P451" s="6" t="s">
        <v>0</v>
      </c>
      <c r="R451" s="8">
        <v>6460</v>
      </c>
      <c r="S451" s="8">
        <v>38760</v>
      </c>
      <c r="T451" s="8"/>
      <c r="U451" s="6" t="s">
        <v>0</v>
      </c>
      <c r="V451" s="6" t="s">
        <v>0</v>
      </c>
    </row>
    <row r="452" spans="1:22" x14ac:dyDescent="0.3">
      <c r="A452" s="11" t="s">
        <v>520</v>
      </c>
      <c r="B452" s="6" t="s">
        <v>521</v>
      </c>
      <c r="C452" s="7">
        <v>11</v>
      </c>
      <c r="D452" s="6" t="s">
        <v>43</v>
      </c>
      <c r="E452" s="8">
        <v>310.81818181818187</v>
      </c>
      <c r="F452" s="8">
        <v>3419</v>
      </c>
      <c r="G452" s="7"/>
      <c r="H452" s="9">
        <f t="shared" ref="H452:H492" si="7">IF(AND(K452="",N452="",Q452="", T452="", W452=""), F452,K452+ N452+Q452+T452+W452)</f>
        <v>3419</v>
      </c>
      <c r="I452" s="8">
        <v>62.181818181818201</v>
      </c>
      <c r="J452" s="8">
        <v>684.00000000000023</v>
      </c>
      <c r="K452" s="8"/>
      <c r="L452" s="8">
        <v>195.45454545454547</v>
      </c>
      <c r="M452" s="8">
        <v>2150</v>
      </c>
      <c r="N452" s="8"/>
      <c r="O452" s="8">
        <v>53.181818181818194</v>
      </c>
      <c r="P452" s="8">
        <v>585.00000000000011</v>
      </c>
      <c r="Q452" s="8"/>
      <c r="R452" s="6" t="s">
        <v>0</v>
      </c>
      <c r="S452" s="6" t="s">
        <v>0</v>
      </c>
      <c r="U452" s="6" t="s">
        <v>0</v>
      </c>
      <c r="V452" s="6" t="s">
        <v>0</v>
      </c>
    </row>
    <row r="453" spans="1:22" x14ac:dyDescent="0.3">
      <c r="A453" s="11" t="s">
        <v>520</v>
      </c>
      <c r="B453" s="6" t="s">
        <v>522</v>
      </c>
      <c r="C453" s="7">
        <v>11</v>
      </c>
      <c r="D453" s="6" t="s">
        <v>43</v>
      </c>
      <c r="E453" s="8">
        <v>142.21818181818185</v>
      </c>
      <c r="F453" s="8">
        <v>1564.4</v>
      </c>
      <c r="G453" s="7"/>
      <c r="H453" s="9">
        <f t="shared" si="7"/>
        <v>1564.4</v>
      </c>
      <c r="I453" s="8">
        <v>89.818181818181841</v>
      </c>
      <c r="J453" s="8">
        <v>988.00000000000023</v>
      </c>
      <c r="K453" s="8"/>
      <c r="L453" s="8">
        <v>3.6363636363636358</v>
      </c>
      <c r="M453" s="8">
        <v>39.999999999999993</v>
      </c>
      <c r="N453" s="8"/>
      <c r="O453" s="8">
        <v>8.3636363636363633</v>
      </c>
      <c r="P453" s="8">
        <v>92</v>
      </c>
      <c r="Q453" s="8"/>
      <c r="R453" s="8">
        <v>40.4</v>
      </c>
      <c r="S453" s="8">
        <v>444.4</v>
      </c>
      <c r="T453" s="8"/>
      <c r="U453" s="6" t="s">
        <v>0</v>
      </c>
      <c r="V453" s="6" t="s">
        <v>0</v>
      </c>
    </row>
    <row r="454" spans="1:22" x14ac:dyDescent="0.3">
      <c r="A454" s="11" t="s">
        <v>520</v>
      </c>
      <c r="B454" s="6" t="s">
        <v>523</v>
      </c>
      <c r="C454" s="7">
        <v>11</v>
      </c>
      <c r="D454" s="6" t="s">
        <v>43</v>
      </c>
      <c r="E454" s="8">
        <v>220</v>
      </c>
      <c r="F454" s="8">
        <v>2420</v>
      </c>
      <c r="H454" s="9">
        <f t="shared" si="7"/>
        <v>2420</v>
      </c>
      <c r="I454" s="6" t="s">
        <v>0</v>
      </c>
      <c r="J454" s="6" t="s">
        <v>0</v>
      </c>
      <c r="L454" s="6" t="s">
        <v>0</v>
      </c>
      <c r="M454" s="6" t="s">
        <v>0</v>
      </c>
      <c r="O454" s="6" t="s">
        <v>0</v>
      </c>
      <c r="P454" s="6" t="s">
        <v>0</v>
      </c>
      <c r="R454" s="8">
        <v>220</v>
      </c>
      <c r="S454" s="8">
        <v>2420</v>
      </c>
      <c r="T454" s="8"/>
      <c r="U454" s="6" t="s">
        <v>0</v>
      </c>
      <c r="V454" s="6" t="s">
        <v>0</v>
      </c>
    </row>
    <row r="455" spans="1:22" x14ac:dyDescent="0.3">
      <c r="A455" s="11" t="s">
        <v>524</v>
      </c>
      <c r="B455" s="6" t="s">
        <v>525</v>
      </c>
      <c r="C455" s="7">
        <v>1.5</v>
      </c>
      <c r="D455" s="6" t="s">
        <v>43</v>
      </c>
      <c r="E455" s="8">
        <v>4520</v>
      </c>
      <c r="F455" s="8">
        <v>6780</v>
      </c>
      <c r="H455" s="9">
        <f t="shared" si="7"/>
        <v>6780</v>
      </c>
      <c r="I455" s="6" t="s">
        <v>0</v>
      </c>
      <c r="J455" s="6" t="s">
        <v>0</v>
      </c>
      <c r="L455" s="6" t="s">
        <v>0</v>
      </c>
      <c r="M455" s="6" t="s">
        <v>0</v>
      </c>
      <c r="O455" s="8">
        <v>4520</v>
      </c>
      <c r="P455" s="8">
        <v>6780</v>
      </c>
      <c r="Q455" s="8"/>
      <c r="R455" s="6" t="s">
        <v>0</v>
      </c>
      <c r="S455" s="6" t="s">
        <v>0</v>
      </c>
      <c r="U455" s="6" t="s">
        <v>0</v>
      </c>
      <c r="V455" s="6" t="s">
        <v>0</v>
      </c>
    </row>
    <row r="456" spans="1:22" x14ac:dyDescent="0.3">
      <c r="A456" s="11" t="s">
        <v>524</v>
      </c>
      <c r="B456" s="6" t="s">
        <v>526</v>
      </c>
      <c r="C456" s="7">
        <v>2</v>
      </c>
      <c r="D456" s="6" t="s">
        <v>527</v>
      </c>
      <c r="E456" s="8">
        <v>480</v>
      </c>
      <c r="F456" s="8">
        <v>960</v>
      </c>
      <c r="H456" s="9">
        <f t="shared" si="7"/>
        <v>960</v>
      </c>
      <c r="I456" s="6" t="s">
        <v>0</v>
      </c>
      <c r="J456" s="6" t="s">
        <v>0</v>
      </c>
      <c r="L456" s="6" t="s">
        <v>0</v>
      </c>
      <c r="M456" s="6" t="s">
        <v>0</v>
      </c>
      <c r="O456" s="8">
        <v>480</v>
      </c>
      <c r="P456" s="8">
        <v>960</v>
      </c>
      <c r="Q456" s="8"/>
      <c r="R456" s="6" t="s">
        <v>0</v>
      </c>
      <c r="S456" s="6" t="s">
        <v>0</v>
      </c>
      <c r="U456" s="6" t="s">
        <v>0</v>
      </c>
      <c r="V456" s="6" t="s">
        <v>0</v>
      </c>
    </row>
    <row r="457" spans="1:22" x14ac:dyDescent="0.3">
      <c r="A457" s="11" t="s">
        <v>524</v>
      </c>
      <c r="B457" s="6" t="s">
        <v>528</v>
      </c>
      <c r="C457" s="7">
        <v>1.5</v>
      </c>
      <c r="D457" s="6" t="s">
        <v>43</v>
      </c>
      <c r="E457" s="8">
        <v>300</v>
      </c>
      <c r="F457" s="8">
        <v>450</v>
      </c>
      <c r="H457" s="9">
        <f t="shared" si="7"/>
        <v>450</v>
      </c>
      <c r="I457" s="6" t="s">
        <v>0</v>
      </c>
      <c r="J457" s="6" t="s">
        <v>0</v>
      </c>
      <c r="L457" s="6" t="s">
        <v>0</v>
      </c>
      <c r="M457" s="6" t="s">
        <v>0</v>
      </c>
      <c r="O457" s="8">
        <v>300</v>
      </c>
      <c r="P457" s="8">
        <v>450</v>
      </c>
      <c r="Q457" s="8"/>
      <c r="R457" s="6" t="s">
        <v>0</v>
      </c>
      <c r="S457" s="6" t="s">
        <v>0</v>
      </c>
      <c r="U457" s="6" t="s">
        <v>0</v>
      </c>
      <c r="V457" s="6" t="s">
        <v>0</v>
      </c>
    </row>
    <row r="458" spans="1:22" x14ac:dyDescent="0.3">
      <c r="A458" s="11" t="s">
        <v>529</v>
      </c>
      <c r="B458" s="6" t="s">
        <v>530</v>
      </c>
      <c r="C458" s="7">
        <v>4.5</v>
      </c>
      <c r="D458" s="6" t="s">
        <v>43</v>
      </c>
      <c r="E458" s="8">
        <v>18176.666666666664</v>
      </c>
      <c r="F458" s="8">
        <v>81795</v>
      </c>
      <c r="G458" s="7"/>
      <c r="H458" s="9">
        <f t="shared" si="7"/>
        <v>81795</v>
      </c>
      <c r="I458" s="8">
        <v>7310</v>
      </c>
      <c r="J458" s="8">
        <v>32895</v>
      </c>
      <c r="K458" s="8"/>
      <c r="L458" s="6" t="s">
        <v>0</v>
      </c>
      <c r="M458" s="6" t="s">
        <v>0</v>
      </c>
      <c r="O458" s="6" t="s">
        <v>0</v>
      </c>
      <c r="P458" s="6" t="s">
        <v>0</v>
      </c>
      <c r="R458" s="8">
        <v>10866.666666666666</v>
      </c>
      <c r="S458" s="8">
        <v>48900</v>
      </c>
      <c r="T458" s="8"/>
      <c r="U458" s="6" t="s">
        <v>0</v>
      </c>
      <c r="V458" s="6" t="s">
        <v>0</v>
      </c>
    </row>
    <row r="459" spans="1:22" x14ac:dyDescent="0.3">
      <c r="A459" s="11" t="s">
        <v>531</v>
      </c>
      <c r="B459" s="6" t="s">
        <v>532</v>
      </c>
      <c r="C459" s="7">
        <v>1</v>
      </c>
      <c r="D459" s="6" t="s">
        <v>4</v>
      </c>
      <c r="E459" s="8">
        <v>12260</v>
      </c>
      <c r="F459" s="8">
        <v>12260</v>
      </c>
      <c r="H459" s="9">
        <f t="shared" si="7"/>
        <v>12260</v>
      </c>
      <c r="I459" s="6" t="s">
        <v>0</v>
      </c>
      <c r="J459" s="6" t="s">
        <v>0</v>
      </c>
      <c r="L459" s="6" t="s">
        <v>0</v>
      </c>
      <c r="M459" s="6" t="s">
        <v>0</v>
      </c>
      <c r="O459" s="6" t="s">
        <v>0</v>
      </c>
      <c r="P459" s="6" t="s">
        <v>0</v>
      </c>
      <c r="R459" s="8">
        <v>12260</v>
      </c>
      <c r="S459" s="8">
        <v>12260</v>
      </c>
      <c r="T459" s="8"/>
      <c r="U459" s="6" t="s">
        <v>0</v>
      </c>
      <c r="V459" s="6" t="s">
        <v>0</v>
      </c>
    </row>
    <row r="460" spans="1:22" x14ac:dyDescent="0.3">
      <c r="A460" s="11" t="s">
        <v>533</v>
      </c>
      <c r="B460" s="6" t="s">
        <v>534</v>
      </c>
      <c r="C460" s="7">
        <v>1</v>
      </c>
      <c r="D460" s="6" t="s">
        <v>4</v>
      </c>
      <c r="E460" s="8">
        <v>23580</v>
      </c>
      <c r="F460" s="8">
        <v>23580</v>
      </c>
      <c r="H460" s="9">
        <f t="shared" si="7"/>
        <v>23580</v>
      </c>
      <c r="I460" s="6" t="s">
        <v>0</v>
      </c>
      <c r="J460" s="6" t="s">
        <v>0</v>
      </c>
      <c r="L460" s="6" t="s">
        <v>0</v>
      </c>
      <c r="M460" s="6" t="s">
        <v>0</v>
      </c>
      <c r="O460" s="6" t="s">
        <v>0</v>
      </c>
      <c r="P460" s="6" t="s">
        <v>0</v>
      </c>
      <c r="R460" s="8">
        <v>23580</v>
      </c>
      <c r="S460" s="8">
        <v>23580</v>
      </c>
      <c r="T460" s="8"/>
      <c r="U460" s="6" t="s">
        <v>0</v>
      </c>
      <c r="V460" s="6" t="s">
        <v>0</v>
      </c>
    </row>
    <row r="461" spans="1:22" x14ac:dyDescent="0.3">
      <c r="A461" s="11" t="s">
        <v>533</v>
      </c>
      <c r="B461" s="6" t="s">
        <v>535</v>
      </c>
      <c r="C461" s="7">
        <v>1</v>
      </c>
      <c r="D461" s="6" t="s">
        <v>4</v>
      </c>
      <c r="E461" s="8">
        <v>2560</v>
      </c>
      <c r="F461" s="8">
        <v>2560</v>
      </c>
      <c r="H461" s="9">
        <f t="shared" si="7"/>
        <v>2560</v>
      </c>
      <c r="I461" s="6" t="s">
        <v>0</v>
      </c>
      <c r="J461" s="6" t="s">
        <v>0</v>
      </c>
      <c r="L461" s="6" t="s">
        <v>0</v>
      </c>
      <c r="M461" s="6" t="s">
        <v>0</v>
      </c>
      <c r="O461" s="6" t="s">
        <v>0</v>
      </c>
      <c r="P461" s="6" t="s">
        <v>0</v>
      </c>
      <c r="R461" s="8">
        <v>2560</v>
      </c>
      <c r="S461" s="8">
        <v>2560</v>
      </c>
      <c r="T461" s="8"/>
      <c r="U461" s="6" t="s">
        <v>0</v>
      </c>
      <c r="V461" s="6" t="s">
        <v>0</v>
      </c>
    </row>
    <row r="462" spans="1:22" x14ac:dyDescent="0.3">
      <c r="A462" s="11" t="s">
        <v>533</v>
      </c>
      <c r="B462" s="6" t="s">
        <v>536</v>
      </c>
      <c r="C462" s="7">
        <v>1</v>
      </c>
      <c r="D462" s="6" t="s">
        <v>4</v>
      </c>
      <c r="E462" s="8">
        <v>2600</v>
      </c>
      <c r="F462" s="8">
        <v>2600</v>
      </c>
      <c r="H462" s="9">
        <f t="shared" si="7"/>
        <v>2600</v>
      </c>
      <c r="I462" s="6" t="s">
        <v>0</v>
      </c>
      <c r="J462" s="6" t="s">
        <v>0</v>
      </c>
      <c r="L462" s="6" t="s">
        <v>0</v>
      </c>
      <c r="M462" s="6" t="s">
        <v>0</v>
      </c>
      <c r="O462" s="6" t="s">
        <v>0</v>
      </c>
      <c r="P462" s="6" t="s">
        <v>0</v>
      </c>
      <c r="R462" s="8">
        <v>2600</v>
      </c>
      <c r="S462" s="8">
        <v>2600</v>
      </c>
      <c r="T462" s="8"/>
      <c r="U462" s="6" t="s">
        <v>0</v>
      </c>
      <c r="V462" s="6" t="s">
        <v>0</v>
      </c>
    </row>
    <row r="463" spans="1:22" x14ac:dyDescent="0.3">
      <c r="A463" s="11" t="s">
        <v>533</v>
      </c>
      <c r="B463" s="6" t="s">
        <v>537</v>
      </c>
      <c r="C463" s="7">
        <v>1</v>
      </c>
      <c r="D463" s="6" t="s">
        <v>4</v>
      </c>
      <c r="E463" s="8">
        <v>6300</v>
      </c>
      <c r="F463" s="8">
        <v>6300</v>
      </c>
      <c r="H463" s="9">
        <f t="shared" si="7"/>
        <v>6300</v>
      </c>
      <c r="I463" s="6" t="s">
        <v>0</v>
      </c>
      <c r="J463" s="6" t="s">
        <v>0</v>
      </c>
      <c r="L463" s="6" t="s">
        <v>0</v>
      </c>
      <c r="M463" s="6" t="s">
        <v>0</v>
      </c>
      <c r="O463" s="6" t="s">
        <v>0</v>
      </c>
      <c r="P463" s="6" t="s">
        <v>0</v>
      </c>
      <c r="R463" s="8">
        <v>6300</v>
      </c>
      <c r="S463" s="8">
        <v>6300</v>
      </c>
      <c r="T463" s="8"/>
      <c r="U463" s="6" t="s">
        <v>0</v>
      </c>
      <c r="V463" s="6" t="s">
        <v>0</v>
      </c>
    </row>
    <row r="464" spans="1:22" x14ac:dyDescent="0.3">
      <c r="A464" s="11" t="s">
        <v>538</v>
      </c>
      <c r="B464" s="6" t="s">
        <v>539</v>
      </c>
      <c r="C464" s="7">
        <v>3307.5</v>
      </c>
      <c r="D464" s="6" t="s">
        <v>499</v>
      </c>
      <c r="E464" s="8">
        <v>3.0273620559334851</v>
      </c>
      <c r="F464" s="8">
        <v>10013.000000000002</v>
      </c>
      <c r="H464" s="9">
        <f t="shared" si="7"/>
        <v>10013.000000000002</v>
      </c>
      <c r="I464" s="6" t="s">
        <v>0</v>
      </c>
      <c r="J464" s="6" t="s">
        <v>0</v>
      </c>
      <c r="L464" s="6" t="s">
        <v>0</v>
      </c>
      <c r="M464" s="6" t="s">
        <v>0</v>
      </c>
      <c r="O464" s="6" t="s">
        <v>0</v>
      </c>
      <c r="P464" s="6" t="s">
        <v>0</v>
      </c>
      <c r="R464" s="8">
        <v>3.0273620559334851</v>
      </c>
      <c r="S464" s="8">
        <v>10013.000000000002</v>
      </c>
      <c r="T464" s="8"/>
      <c r="U464" s="6" t="s">
        <v>0</v>
      </c>
      <c r="V464" s="6" t="s">
        <v>0</v>
      </c>
    </row>
    <row r="465" spans="1:22" x14ac:dyDescent="0.3">
      <c r="A465" s="11" t="s">
        <v>538</v>
      </c>
      <c r="B465" s="6" t="s">
        <v>540</v>
      </c>
      <c r="C465" s="7">
        <v>3307.5</v>
      </c>
      <c r="D465" s="6" t="s">
        <v>499</v>
      </c>
      <c r="E465" s="8">
        <v>6.1862433862433859</v>
      </c>
      <c r="F465" s="8">
        <v>20461</v>
      </c>
      <c r="H465" s="9">
        <f t="shared" si="7"/>
        <v>20461</v>
      </c>
      <c r="I465" s="6" t="s">
        <v>0</v>
      </c>
      <c r="J465" s="6" t="s">
        <v>0</v>
      </c>
      <c r="L465" s="6" t="s">
        <v>0</v>
      </c>
      <c r="M465" s="6" t="s">
        <v>0</v>
      </c>
      <c r="O465" s="6" t="s">
        <v>0</v>
      </c>
      <c r="P465" s="6" t="s">
        <v>0</v>
      </c>
      <c r="R465" s="8">
        <v>6.1862433862433859</v>
      </c>
      <c r="S465" s="8">
        <v>20461</v>
      </c>
      <c r="T465" s="8"/>
      <c r="U465" s="6" t="s">
        <v>0</v>
      </c>
      <c r="V465" s="6" t="s">
        <v>0</v>
      </c>
    </row>
    <row r="466" spans="1:22" x14ac:dyDescent="0.3">
      <c r="A466" s="11" t="s">
        <v>541</v>
      </c>
      <c r="B466" s="6" t="s">
        <v>542</v>
      </c>
      <c r="C466" s="7">
        <v>3007.5</v>
      </c>
      <c r="D466" s="6" t="s">
        <v>499</v>
      </c>
      <c r="E466" s="8">
        <v>1.484621778886118</v>
      </c>
      <c r="F466" s="8">
        <v>4465</v>
      </c>
      <c r="H466" s="9">
        <f t="shared" si="7"/>
        <v>4465</v>
      </c>
      <c r="I466" s="6" t="s">
        <v>0</v>
      </c>
      <c r="J466" s="6" t="s">
        <v>0</v>
      </c>
      <c r="L466" s="8">
        <v>1.484621778886118</v>
      </c>
      <c r="M466" s="8">
        <v>4465</v>
      </c>
      <c r="N466" s="8"/>
      <c r="O466" s="6" t="s">
        <v>0</v>
      </c>
      <c r="P466" s="6" t="s">
        <v>0</v>
      </c>
      <c r="R466" s="6" t="s">
        <v>0</v>
      </c>
      <c r="S466" s="6" t="s">
        <v>0</v>
      </c>
      <c r="U466" s="6" t="s">
        <v>0</v>
      </c>
      <c r="V466" s="6" t="s">
        <v>0</v>
      </c>
    </row>
    <row r="467" spans="1:22" x14ac:dyDescent="0.3">
      <c r="A467" s="11" t="s">
        <v>543</v>
      </c>
      <c r="B467" s="6" t="s">
        <v>544</v>
      </c>
      <c r="C467" s="7">
        <v>105000</v>
      </c>
      <c r="D467" s="6" t="s">
        <v>545</v>
      </c>
      <c r="E467" s="8">
        <v>0.15</v>
      </c>
      <c r="F467" s="8">
        <v>15750</v>
      </c>
      <c r="H467" s="9">
        <f t="shared" si="7"/>
        <v>15750</v>
      </c>
      <c r="I467" s="6" t="s">
        <v>0</v>
      </c>
      <c r="J467" s="6" t="s">
        <v>0</v>
      </c>
      <c r="L467" s="8">
        <v>0.15</v>
      </c>
      <c r="M467" s="8">
        <v>15750</v>
      </c>
      <c r="N467" s="8"/>
      <c r="O467" s="6" t="s">
        <v>0</v>
      </c>
      <c r="P467" s="6" t="s">
        <v>0</v>
      </c>
      <c r="R467" s="6" t="s">
        <v>0</v>
      </c>
      <c r="S467" s="6" t="s">
        <v>0</v>
      </c>
      <c r="U467" s="6" t="s">
        <v>0</v>
      </c>
      <c r="V467" s="6" t="s">
        <v>0</v>
      </c>
    </row>
    <row r="468" spans="1:22" x14ac:dyDescent="0.3">
      <c r="A468" s="11" t="s">
        <v>546</v>
      </c>
      <c r="B468" s="6" t="s">
        <v>547</v>
      </c>
      <c r="C468" s="7">
        <v>240</v>
      </c>
      <c r="D468" s="6" t="s">
        <v>39</v>
      </c>
      <c r="E468" s="8">
        <v>9.6000000000000014</v>
      </c>
      <c r="F468" s="8">
        <v>2304.0000000000005</v>
      </c>
      <c r="H468" s="9">
        <f t="shared" si="7"/>
        <v>2304.0000000000005</v>
      </c>
      <c r="I468" s="6" t="s">
        <v>0</v>
      </c>
      <c r="J468" s="6" t="s">
        <v>0</v>
      </c>
      <c r="L468" s="8">
        <v>9.6000000000000014</v>
      </c>
      <c r="M468" s="8">
        <v>2304.0000000000005</v>
      </c>
      <c r="N468" s="8"/>
      <c r="O468" s="6" t="s">
        <v>0</v>
      </c>
      <c r="P468" s="6" t="s">
        <v>0</v>
      </c>
      <c r="R468" s="6" t="s">
        <v>0</v>
      </c>
      <c r="S468" s="6" t="s">
        <v>0</v>
      </c>
      <c r="U468" s="6" t="s">
        <v>0</v>
      </c>
      <c r="V468" s="6" t="s">
        <v>0</v>
      </c>
    </row>
    <row r="469" spans="1:22" x14ac:dyDescent="0.3">
      <c r="A469" s="11" t="s">
        <v>548</v>
      </c>
      <c r="B469" s="6" t="s">
        <v>549</v>
      </c>
      <c r="C469" s="7">
        <v>1</v>
      </c>
      <c r="D469" s="6" t="s">
        <v>4</v>
      </c>
      <c r="E469" s="8">
        <v>6802</v>
      </c>
      <c r="F469" s="8">
        <v>6802</v>
      </c>
      <c r="H469" s="9">
        <f t="shared" si="7"/>
        <v>6802</v>
      </c>
      <c r="I469" s="6" t="s">
        <v>0</v>
      </c>
      <c r="J469" s="6" t="s">
        <v>0</v>
      </c>
      <c r="L469" s="6" t="s">
        <v>0</v>
      </c>
      <c r="M469" s="6" t="s">
        <v>0</v>
      </c>
      <c r="O469" s="6" t="s">
        <v>0</v>
      </c>
      <c r="P469" s="6" t="s">
        <v>0</v>
      </c>
      <c r="R469" s="8">
        <v>6802</v>
      </c>
      <c r="S469" s="8">
        <v>6802</v>
      </c>
      <c r="T469" s="8"/>
      <c r="U469" s="6" t="s">
        <v>0</v>
      </c>
      <c r="V469" s="6" t="s">
        <v>0</v>
      </c>
    </row>
    <row r="470" spans="1:22" x14ac:dyDescent="0.3">
      <c r="A470" s="11" t="s">
        <v>550</v>
      </c>
      <c r="B470" s="6" t="s">
        <v>551</v>
      </c>
      <c r="C470" s="7">
        <v>100</v>
      </c>
      <c r="D470" s="6" t="s">
        <v>552</v>
      </c>
      <c r="E470" s="8">
        <v>140</v>
      </c>
      <c r="F470" s="8">
        <v>14000</v>
      </c>
      <c r="H470" s="9">
        <f t="shared" si="7"/>
        <v>14000</v>
      </c>
      <c r="I470" s="6" t="s">
        <v>0</v>
      </c>
      <c r="J470" s="6" t="s">
        <v>0</v>
      </c>
      <c r="L470" s="8">
        <v>140</v>
      </c>
      <c r="M470" s="8">
        <v>14000</v>
      </c>
      <c r="N470" s="8"/>
      <c r="O470" s="6" t="s">
        <v>0</v>
      </c>
      <c r="P470" s="6" t="s">
        <v>0</v>
      </c>
      <c r="R470" s="6" t="s">
        <v>0</v>
      </c>
      <c r="S470" s="6" t="s">
        <v>0</v>
      </c>
      <c r="U470" s="6" t="s">
        <v>0</v>
      </c>
      <c r="V470" s="6" t="s">
        <v>0</v>
      </c>
    </row>
    <row r="471" spans="1:22" x14ac:dyDescent="0.3">
      <c r="A471" s="11" t="s">
        <v>553</v>
      </c>
      <c r="B471" s="6" t="s">
        <v>554</v>
      </c>
      <c r="C471" s="7">
        <v>110</v>
      </c>
      <c r="D471" s="6" t="s">
        <v>555</v>
      </c>
      <c r="E471" s="8">
        <v>150</v>
      </c>
      <c r="F471" s="8">
        <v>16500</v>
      </c>
      <c r="H471" s="9">
        <f t="shared" si="7"/>
        <v>16500</v>
      </c>
      <c r="I471" s="6" t="s">
        <v>0</v>
      </c>
      <c r="J471" s="6" t="s">
        <v>0</v>
      </c>
      <c r="L471" s="8">
        <v>150</v>
      </c>
      <c r="M471" s="8">
        <v>16500</v>
      </c>
      <c r="N471" s="8"/>
      <c r="O471" s="6" t="s">
        <v>0</v>
      </c>
      <c r="P471" s="6" t="s">
        <v>0</v>
      </c>
      <c r="R471" s="6" t="s">
        <v>0</v>
      </c>
      <c r="S471" s="6" t="s">
        <v>0</v>
      </c>
      <c r="U471" s="6" t="s">
        <v>0</v>
      </c>
      <c r="V471" s="6" t="s">
        <v>0</v>
      </c>
    </row>
    <row r="472" spans="1:22" x14ac:dyDescent="0.3">
      <c r="A472" s="11" t="s">
        <v>553</v>
      </c>
      <c r="B472" s="6" t="s">
        <v>556</v>
      </c>
      <c r="C472" s="7">
        <v>1</v>
      </c>
      <c r="D472" s="6" t="s">
        <v>4</v>
      </c>
      <c r="E472" s="8">
        <v>1500</v>
      </c>
      <c r="F472" s="8">
        <v>1500</v>
      </c>
      <c r="H472" s="9">
        <f t="shared" si="7"/>
        <v>1500</v>
      </c>
      <c r="I472" s="6" t="s">
        <v>0</v>
      </c>
      <c r="J472" s="6" t="s">
        <v>0</v>
      </c>
      <c r="L472" s="6" t="s">
        <v>0</v>
      </c>
      <c r="M472" s="6" t="s">
        <v>0</v>
      </c>
      <c r="O472" s="6" t="s">
        <v>0</v>
      </c>
      <c r="P472" s="6" t="s">
        <v>0</v>
      </c>
      <c r="R472" s="8">
        <v>1500</v>
      </c>
      <c r="S472" s="8">
        <v>1500</v>
      </c>
      <c r="T472" s="8"/>
      <c r="U472" s="6" t="s">
        <v>0</v>
      </c>
      <c r="V472" s="6" t="s">
        <v>0</v>
      </c>
    </row>
    <row r="473" spans="1:22" x14ac:dyDescent="0.3">
      <c r="A473" s="11" t="s">
        <v>553</v>
      </c>
      <c r="B473" s="6" t="s">
        <v>557</v>
      </c>
      <c r="C473" s="7">
        <v>11</v>
      </c>
      <c r="D473" s="6" t="s">
        <v>43</v>
      </c>
      <c r="E473" s="8">
        <v>30</v>
      </c>
      <c r="F473" s="8">
        <v>330</v>
      </c>
      <c r="H473" s="9">
        <f t="shared" si="7"/>
        <v>330</v>
      </c>
      <c r="I473" s="6" t="s">
        <v>0</v>
      </c>
      <c r="J473" s="6" t="s">
        <v>0</v>
      </c>
      <c r="L473" s="6" t="s">
        <v>0</v>
      </c>
      <c r="M473" s="6" t="s">
        <v>0</v>
      </c>
      <c r="O473" s="6" t="s">
        <v>0</v>
      </c>
      <c r="P473" s="6" t="s">
        <v>0</v>
      </c>
      <c r="R473" s="8">
        <v>30</v>
      </c>
      <c r="S473" s="8">
        <v>330</v>
      </c>
      <c r="T473" s="8"/>
      <c r="U473" s="6" t="s">
        <v>0</v>
      </c>
      <c r="V473" s="6" t="s">
        <v>0</v>
      </c>
    </row>
    <row r="474" spans="1:22" x14ac:dyDescent="0.3">
      <c r="A474" s="11" t="s">
        <v>553</v>
      </c>
      <c r="B474" s="6" t="s">
        <v>558</v>
      </c>
      <c r="C474" s="7">
        <v>11</v>
      </c>
      <c r="D474" s="6" t="s">
        <v>43</v>
      </c>
      <c r="E474" s="8">
        <v>260</v>
      </c>
      <c r="F474" s="8">
        <v>2860</v>
      </c>
      <c r="H474" s="9">
        <f t="shared" si="7"/>
        <v>2860</v>
      </c>
      <c r="I474" s="6" t="s">
        <v>0</v>
      </c>
      <c r="J474" s="6" t="s">
        <v>0</v>
      </c>
      <c r="L474" s="6" t="s">
        <v>0</v>
      </c>
      <c r="M474" s="6" t="s">
        <v>0</v>
      </c>
      <c r="O474" s="8">
        <v>260</v>
      </c>
      <c r="P474" s="8">
        <v>2860</v>
      </c>
      <c r="Q474" s="8"/>
      <c r="R474" s="6" t="s">
        <v>0</v>
      </c>
      <c r="S474" s="6" t="s">
        <v>0</v>
      </c>
      <c r="U474" s="6" t="s">
        <v>0</v>
      </c>
      <c r="V474" s="6" t="s">
        <v>0</v>
      </c>
    </row>
    <row r="475" spans="1:22" x14ac:dyDescent="0.3">
      <c r="A475" s="11" t="s">
        <v>553</v>
      </c>
      <c r="B475" s="6" t="s">
        <v>559</v>
      </c>
      <c r="C475" s="7">
        <v>2</v>
      </c>
      <c r="D475" s="6" t="s">
        <v>43</v>
      </c>
      <c r="E475" s="8">
        <v>450</v>
      </c>
      <c r="F475" s="8">
        <v>900</v>
      </c>
      <c r="H475" s="9">
        <f t="shared" si="7"/>
        <v>900</v>
      </c>
      <c r="I475" s="6" t="s">
        <v>0</v>
      </c>
      <c r="J475" s="6" t="s">
        <v>0</v>
      </c>
      <c r="L475" s="6" t="s">
        <v>0</v>
      </c>
      <c r="M475" s="6" t="s">
        <v>0</v>
      </c>
      <c r="O475" s="8">
        <v>450</v>
      </c>
      <c r="P475" s="8">
        <v>900</v>
      </c>
      <c r="Q475" s="8"/>
      <c r="R475" s="6" t="s">
        <v>0</v>
      </c>
      <c r="S475" s="6" t="s">
        <v>0</v>
      </c>
      <c r="U475" s="6" t="s">
        <v>0</v>
      </c>
      <c r="V475" s="6" t="s">
        <v>0</v>
      </c>
    </row>
    <row r="476" spans="1:22" x14ac:dyDescent="0.3">
      <c r="A476" s="11" t="s">
        <v>560</v>
      </c>
      <c r="B476" s="6" t="s">
        <v>561</v>
      </c>
      <c r="C476" s="7">
        <v>1</v>
      </c>
      <c r="D476" s="6" t="s">
        <v>4</v>
      </c>
      <c r="E476" s="8">
        <v>220000</v>
      </c>
      <c r="F476" s="8">
        <v>220000</v>
      </c>
      <c r="G476" s="7"/>
      <c r="H476" s="9">
        <f t="shared" si="7"/>
        <v>220000</v>
      </c>
      <c r="I476" s="8">
        <v>220000</v>
      </c>
      <c r="J476" s="8">
        <v>220000</v>
      </c>
      <c r="K476" s="8"/>
      <c r="L476" s="6" t="s">
        <v>0</v>
      </c>
      <c r="M476" s="6" t="s">
        <v>0</v>
      </c>
      <c r="O476" s="6" t="s">
        <v>0</v>
      </c>
      <c r="P476" s="6" t="s">
        <v>0</v>
      </c>
      <c r="R476" s="6" t="s">
        <v>0</v>
      </c>
      <c r="S476" s="6" t="s">
        <v>0</v>
      </c>
      <c r="U476" s="6" t="s">
        <v>0</v>
      </c>
      <c r="V476" s="6" t="s">
        <v>0</v>
      </c>
    </row>
    <row r="477" spans="1:22" x14ac:dyDescent="0.3">
      <c r="A477" s="11" t="s">
        <v>562</v>
      </c>
      <c r="B477" s="6" t="s">
        <v>563</v>
      </c>
      <c r="C477" s="7">
        <v>1</v>
      </c>
      <c r="D477" s="6" t="s">
        <v>4</v>
      </c>
      <c r="E477" s="8">
        <v>2400</v>
      </c>
      <c r="F477" s="8">
        <v>2400</v>
      </c>
      <c r="H477" s="9">
        <f t="shared" si="7"/>
        <v>2400</v>
      </c>
      <c r="I477" s="6" t="s">
        <v>0</v>
      </c>
      <c r="J477" s="6" t="s">
        <v>0</v>
      </c>
      <c r="L477" s="6" t="s">
        <v>0</v>
      </c>
      <c r="M477" s="6" t="s">
        <v>0</v>
      </c>
      <c r="O477" s="8">
        <v>2400</v>
      </c>
      <c r="P477" s="8">
        <v>2400</v>
      </c>
      <c r="Q477" s="8"/>
      <c r="R477" s="6" t="s">
        <v>0</v>
      </c>
      <c r="S477" s="6" t="s">
        <v>0</v>
      </c>
      <c r="U477" s="6" t="s">
        <v>0</v>
      </c>
      <c r="V477" s="6" t="s">
        <v>0</v>
      </c>
    </row>
    <row r="478" spans="1:22" x14ac:dyDescent="0.3">
      <c r="A478" s="11" t="s">
        <v>562</v>
      </c>
      <c r="B478" s="6" t="s">
        <v>564</v>
      </c>
      <c r="C478" s="7">
        <v>1</v>
      </c>
      <c r="D478" s="6" t="s">
        <v>4</v>
      </c>
      <c r="E478" s="8">
        <v>500</v>
      </c>
      <c r="F478" s="8">
        <v>500</v>
      </c>
      <c r="H478" s="9">
        <f t="shared" si="7"/>
        <v>500</v>
      </c>
      <c r="I478" s="6" t="s">
        <v>0</v>
      </c>
      <c r="J478" s="6" t="s">
        <v>0</v>
      </c>
      <c r="L478" s="6" t="s">
        <v>0</v>
      </c>
      <c r="M478" s="6" t="s">
        <v>0</v>
      </c>
      <c r="O478" s="8">
        <v>500</v>
      </c>
      <c r="P478" s="8">
        <v>500</v>
      </c>
      <c r="Q478" s="8"/>
      <c r="R478" s="6" t="s">
        <v>0</v>
      </c>
      <c r="S478" s="6" t="s">
        <v>0</v>
      </c>
      <c r="U478" s="6" t="s">
        <v>0</v>
      </c>
      <c r="V478" s="6" t="s">
        <v>0</v>
      </c>
    </row>
    <row r="479" spans="1:22" x14ac:dyDescent="0.3">
      <c r="A479" s="11" t="s">
        <v>562</v>
      </c>
      <c r="B479" s="6" t="s">
        <v>565</v>
      </c>
      <c r="C479" s="7">
        <v>11</v>
      </c>
      <c r="D479" s="6" t="s">
        <v>43</v>
      </c>
      <c r="E479" s="8">
        <v>154</v>
      </c>
      <c r="F479" s="8">
        <v>1694</v>
      </c>
      <c r="H479" s="9">
        <f t="shared" si="7"/>
        <v>1694</v>
      </c>
      <c r="I479" s="6" t="s">
        <v>0</v>
      </c>
      <c r="J479" s="6" t="s">
        <v>0</v>
      </c>
      <c r="L479" s="6" t="s">
        <v>0</v>
      </c>
      <c r="M479" s="6" t="s">
        <v>0</v>
      </c>
      <c r="O479" s="8">
        <v>154</v>
      </c>
      <c r="P479" s="8">
        <v>1694</v>
      </c>
      <c r="Q479" s="8"/>
      <c r="R479" s="6" t="s">
        <v>0</v>
      </c>
      <c r="S479" s="6" t="s">
        <v>0</v>
      </c>
      <c r="U479" s="6" t="s">
        <v>0</v>
      </c>
      <c r="V479" s="6" t="s">
        <v>0</v>
      </c>
    </row>
    <row r="480" spans="1:22" x14ac:dyDescent="0.3">
      <c r="A480" s="11" t="s">
        <v>562</v>
      </c>
      <c r="B480" s="6" t="s">
        <v>566</v>
      </c>
      <c r="C480" s="7">
        <v>3307.5</v>
      </c>
      <c r="D480" s="6" t="s">
        <v>499</v>
      </c>
      <c r="E480" s="8">
        <v>0.90007558578987146</v>
      </c>
      <c r="F480" s="8">
        <v>2977</v>
      </c>
      <c r="H480" s="9">
        <f t="shared" si="7"/>
        <v>2977</v>
      </c>
      <c r="I480" s="6" t="s">
        <v>0</v>
      </c>
      <c r="J480" s="6" t="s">
        <v>0</v>
      </c>
      <c r="L480" s="8">
        <v>0.90007558578987146</v>
      </c>
      <c r="M480" s="8">
        <v>2977</v>
      </c>
      <c r="N480" s="8"/>
      <c r="O480" s="6" t="s">
        <v>0</v>
      </c>
      <c r="P480" s="6" t="s">
        <v>0</v>
      </c>
      <c r="R480" s="6" t="s">
        <v>0</v>
      </c>
      <c r="S480" s="6" t="s">
        <v>0</v>
      </c>
      <c r="U480" s="6" t="s">
        <v>0</v>
      </c>
      <c r="V480" s="6" t="s">
        <v>0</v>
      </c>
    </row>
    <row r="481" spans="1:22" x14ac:dyDescent="0.3">
      <c r="A481" s="11" t="s">
        <v>562</v>
      </c>
      <c r="B481" s="6" t="s">
        <v>567</v>
      </c>
      <c r="C481" s="7">
        <v>1</v>
      </c>
      <c r="D481" s="6" t="s">
        <v>4</v>
      </c>
      <c r="E481" s="8">
        <v>5700</v>
      </c>
      <c r="F481" s="8">
        <v>5700</v>
      </c>
      <c r="H481" s="9">
        <f t="shared" si="7"/>
        <v>5700</v>
      </c>
      <c r="I481" s="6" t="s">
        <v>0</v>
      </c>
      <c r="J481" s="6" t="s">
        <v>0</v>
      </c>
      <c r="L481" s="8">
        <v>5700</v>
      </c>
      <c r="M481" s="8">
        <v>5700</v>
      </c>
      <c r="N481" s="8"/>
      <c r="O481" s="6" t="s">
        <v>0</v>
      </c>
      <c r="P481" s="6" t="s">
        <v>0</v>
      </c>
      <c r="R481" s="6" t="s">
        <v>0</v>
      </c>
      <c r="S481" s="6" t="s">
        <v>0</v>
      </c>
      <c r="U481" s="6" t="s">
        <v>0</v>
      </c>
      <c r="V481" s="6" t="s">
        <v>0</v>
      </c>
    </row>
    <row r="482" spans="1:22" x14ac:dyDescent="0.3">
      <c r="A482" s="11" t="s">
        <v>568</v>
      </c>
      <c r="B482" s="6" t="s">
        <v>569</v>
      </c>
      <c r="C482" s="7">
        <v>3307.5</v>
      </c>
      <c r="D482" s="6" t="s">
        <v>499</v>
      </c>
      <c r="E482" s="8">
        <v>1.1000000000000001</v>
      </c>
      <c r="F482" s="8">
        <v>3638.2500000000005</v>
      </c>
      <c r="G482" s="7"/>
      <c r="H482" s="9">
        <f t="shared" si="7"/>
        <v>3638.2500000000005</v>
      </c>
      <c r="I482" s="8">
        <v>1.1000000000000001</v>
      </c>
      <c r="J482" s="8">
        <v>3638.2500000000005</v>
      </c>
      <c r="K482" s="8"/>
      <c r="L482" s="6" t="s">
        <v>0</v>
      </c>
      <c r="M482" s="6" t="s">
        <v>0</v>
      </c>
      <c r="O482" s="6" t="s">
        <v>0</v>
      </c>
      <c r="P482" s="6" t="s">
        <v>0</v>
      </c>
      <c r="R482" s="6" t="s">
        <v>0</v>
      </c>
      <c r="S482" s="6" t="s">
        <v>0</v>
      </c>
      <c r="U482" s="6" t="s">
        <v>0</v>
      </c>
      <c r="V482" s="6" t="s">
        <v>0</v>
      </c>
    </row>
    <row r="483" spans="1:22" x14ac:dyDescent="0.3">
      <c r="A483" s="11" t="s">
        <v>570</v>
      </c>
      <c r="B483" s="6" t="s">
        <v>571</v>
      </c>
      <c r="C483" s="7">
        <v>10</v>
      </c>
      <c r="D483" s="6" t="s">
        <v>43</v>
      </c>
      <c r="E483" s="8">
        <v>675</v>
      </c>
      <c r="F483" s="8">
        <v>6750</v>
      </c>
      <c r="H483" s="9">
        <f t="shared" si="7"/>
        <v>6750</v>
      </c>
      <c r="I483" s="6" t="s">
        <v>0</v>
      </c>
      <c r="J483" s="6" t="s">
        <v>0</v>
      </c>
      <c r="L483" s="6" t="s">
        <v>0</v>
      </c>
      <c r="M483" s="6" t="s">
        <v>0</v>
      </c>
      <c r="O483" s="8">
        <v>675</v>
      </c>
      <c r="P483" s="8">
        <v>6750</v>
      </c>
      <c r="Q483" s="8"/>
      <c r="R483" s="6" t="s">
        <v>0</v>
      </c>
      <c r="S483" s="6" t="s">
        <v>0</v>
      </c>
      <c r="U483" s="6" t="s">
        <v>0</v>
      </c>
      <c r="V483" s="6" t="s">
        <v>0</v>
      </c>
    </row>
    <row r="484" spans="1:22" x14ac:dyDescent="0.3">
      <c r="A484" s="11" t="s">
        <v>570</v>
      </c>
      <c r="B484" s="6" t="s">
        <v>572</v>
      </c>
      <c r="C484" s="7">
        <v>1</v>
      </c>
      <c r="D484" s="6" t="s">
        <v>4</v>
      </c>
      <c r="E484" s="8">
        <v>1460.0000000000002</v>
      </c>
      <c r="F484" s="8">
        <v>1460.0000000000002</v>
      </c>
      <c r="H484" s="9">
        <f t="shared" si="7"/>
        <v>1460.0000000000002</v>
      </c>
      <c r="I484" s="6" t="s">
        <v>0</v>
      </c>
      <c r="J484" s="6" t="s">
        <v>0</v>
      </c>
      <c r="L484" s="6" t="s">
        <v>0</v>
      </c>
      <c r="M484" s="6" t="s">
        <v>0</v>
      </c>
      <c r="O484" s="8">
        <v>1460.0000000000002</v>
      </c>
      <c r="P484" s="8">
        <v>1460.0000000000002</v>
      </c>
      <c r="Q484" s="8"/>
      <c r="R484" s="6" t="s">
        <v>0</v>
      </c>
      <c r="S484" s="6" t="s">
        <v>0</v>
      </c>
      <c r="U484" s="6" t="s">
        <v>0</v>
      </c>
      <c r="V484" s="6" t="s">
        <v>0</v>
      </c>
    </row>
    <row r="485" spans="1:22" x14ac:dyDescent="0.3">
      <c r="A485" s="11" t="s">
        <v>573</v>
      </c>
      <c r="B485" s="6" t="s">
        <v>574</v>
      </c>
      <c r="C485" s="7">
        <v>1</v>
      </c>
      <c r="D485" s="6" t="s">
        <v>43</v>
      </c>
      <c r="E485" s="8">
        <v>488</v>
      </c>
      <c r="F485" s="8">
        <v>488</v>
      </c>
      <c r="H485" s="9">
        <f t="shared" si="7"/>
        <v>488</v>
      </c>
      <c r="I485" s="6" t="s">
        <v>0</v>
      </c>
      <c r="J485" s="6" t="s">
        <v>0</v>
      </c>
      <c r="L485" s="6" t="s">
        <v>0</v>
      </c>
      <c r="M485" s="6" t="s">
        <v>0</v>
      </c>
      <c r="O485" s="8">
        <v>488</v>
      </c>
      <c r="P485" s="8">
        <v>488</v>
      </c>
      <c r="Q485" s="8"/>
      <c r="R485" s="6" t="s">
        <v>0</v>
      </c>
      <c r="S485" s="6" t="s">
        <v>0</v>
      </c>
      <c r="U485" s="6" t="s">
        <v>0</v>
      </c>
      <c r="V485" s="6" t="s">
        <v>0</v>
      </c>
    </row>
    <row r="486" spans="1:22" x14ac:dyDescent="0.3">
      <c r="A486" s="11" t="s">
        <v>575</v>
      </c>
      <c r="B486" s="6" t="s">
        <v>576</v>
      </c>
      <c r="C486" s="7">
        <v>10</v>
      </c>
      <c r="D486" s="6" t="s">
        <v>43</v>
      </c>
      <c r="E486" s="8">
        <v>1716</v>
      </c>
      <c r="F486" s="8">
        <v>17160</v>
      </c>
      <c r="H486" s="9">
        <f t="shared" si="7"/>
        <v>17160</v>
      </c>
      <c r="I486" s="6" t="s">
        <v>0</v>
      </c>
      <c r="J486" s="6" t="s">
        <v>0</v>
      </c>
      <c r="L486" s="8">
        <v>60</v>
      </c>
      <c r="M486" s="8">
        <v>600</v>
      </c>
      <c r="N486" s="8"/>
      <c r="O486" s="8">
        <v>1656</v>
      </c>
      <c r="P486" s="8">
        <v>16560</v>
      </c>
      <c r="Q486" s="8"/>
      <c r="R486" s="6" t="s">
        <v>0</v>
      </c>
      <c r="S486" s="6" t="s">
        <v>0</v>
      </c>
      <c r="U486" s="6" t="s">
        <v>0</v>
      </c>
      <c r="V486" s="6" t="s">
        <v>0</v>
      </c>
    </row>
    <row r="487" spans="1:22" x14ac:dyDescent="0.3">
      <c r="A487" s="11" t="s">
        <v>575</v>
      </c>
      <c r="B487" s="6" t="s">
        <v>577</v>
      </c>
      <c r="C487" s="7">
        <v>8</v>
      </c>
      <c r="D487" s="6" t="s">
        <v>43</v>
      </c>
      <c r="E487" s="8">
        <v>4950</v>
      </c>
      <c r="F487" s="8">
        <v>39600</v>
      </c>
      <c r="H487" s="9">
        <f t="shared" si="7"/>
        <v>39600</v>
      </c>
      <c r="I487" s="6" t="s">
        <v>0</v>
      </c>
      <c r="J487" s="6" t="s">
        <v>0</v>
      </c>
      <c r="L487" s="8">
        <v>150</v>
      </c>
      <c r="M487" s="8">
        <v>1200</v>
      </c>
      <c r="N487" s="8"/>
      <c r="O487" s="8">
        <v>4800</v>
      </c>
      <c r="P487" s="8">
        <v>38400</v>
      </c>
      <c r="Q487" s="8"/>
      <c r="R487" s="6" t="s">
        <v>0</v>
      </c>
      <c r="S487" s="6" t="s">
        <v>0</v>
      </c>
      <c r="U487" s="6" t="s">
        <v>0</v>
      </c>
      <c r="V487" s="6" t="s">
        <v>0</v>
      </c>
    </row>
    <row r="488" spans="1:22" x14ac:dyDescent="0.3">
      <c r="A488" s="11" t="s">
        <v>578</v>
      </c>
      <c r="B488" s="6" t="s">
        <v>579</v>
      </c>
      <c r="C488" s="7">
        <v>3307.5</v>
      </c>
      <c r="D488" s="6" t="s">
        <v>499</v>
      </c>
      <c r="E488" s="8">
        <v>5.3968253968253972</v>
      </c>
      <c r="F488" s="8">
        <v>17850</v>
      </c>
      <c r="H488" s="9">
        <f t="shared" si="7"/>
        <v>17850</v>
      </c>
      <c r="I488" s="6" t="s">
        <v>0</v>
      </c>
      <c r="J488" s="6" t="s">
        <v>0</v>
      </c>
      <c r="L488" s="6" t="s">
        <v>0</v>
      </c>
      <c r="M488" s="6" t="s">
        <v>0</v>
      </c>
      <c r="O488" s="8">
        <v>5.3968253968253972</v>
      </c>
      <c r="P488" s="8">
        <v>17850</v>
      </c>
      <c r="Q488" s="8"/>
      <c r="R488" s="6" t="s">
        <v>0</v>
      </c>
      <c r="S488" s="6" t="s">
        <v>0</v>
      </c>
      <c r="U488" s="6" t="s">
        <v>0</v>
      </c>
      <c r="V488" s="6" t="s">
        <v>0</v>
      </c>
    </row>
    <row r="489" spans="1:22" x14ac:dyDescent="0.3">
      <c r="A489" s="11" t="s">
        <v>580</v>
      </c>
      <c r="B489" s="6" t="s">
        <v>581</v>
      </c>
      <c r="C489" s="7">
        <v>3307.5</v>
      </c>
      <c r="D489" s="6" t="s">
        <v>499</v>
      </c>
      <c r="E489" s="8">
        <v>1.1162509448223734</v>
      </c>
      <c r="F489" s="8">
        <v>3692</v>
      </c>
      <c r="G489" s="7"/>
      <c r="H489" s="9">
        <f t="shared" si="7"/>
        <v>3692</v>
      </c>
      <c r="I489" s="8">
        <v>0.34467120181405903</v>
      </c>
      <c r="J489" s="8">
        <v>1140.0000000000002</v>
      </c>
      <c r="K489" s="8"/>
      <c r="L489" s="6" t="s">
        <v>0</v>
      </c>
      <c r="M489" s="6" t="s">
        <v>0</v>
      </c>
      <c r="O489" s="8">
        <v>0.47165532879818589</v>
      </c>
      <c r="P489" s="8">
        <v>1559.9999999999998</v>
      </c>
      <c r="Q489" s="8"/>
      <c r="R489" s="8">
        <v>0.2999244142101285</v>
      </c>
      <c r="S489" s="8">
        <v>992</v>
      </c>
      <c r="T489" s="8"/>
      <c r="U489" s="6" t="s">
        <v>0</v>
      </c>
      <c r="V489" s="6" t="s">
        <v>0</v>
      </c>
    </row>
    <row r="490" spans="1:22" x14ac:dyDescent="0.3">
      <c r="A490" s="11" t="s">
        <v>580</v>
      </c>
      <c r="B490" s="6" t="s">
        <v>582</v>
      </c>
      <c r="C490" s="7">
        <v>3307.5</v>
      </c>
      <c r="D490" s="6" t="s">
        <v>583</v>
      </c>
      <c r="E490" s="8">
        <v>1.2749999999999999</v>
      </c>
      <c r="F490" s="8">
        <v>4217.0625</v>
      </c>
      <c r="G490" s="7"/>
      <c r="H490" s="9">
        <f t="shared" si="7"/>
        <v>4217.0625</v>
      </c>
      <c r="I490" s="8">
        <v>1.2749999999999999</v>
      </c>
      <c r="J490" s="8">
        <v>4217.0625</v>
      </c>
      <c r="K490" s="8"/>
      <c r="L490" s="6" t="s">
        <v>0</v>
      </c>
      <c r="M490" s="6" t="s">
        <v>0</v>
      </c>
      <c r="O490" s="6" t="s">
        <v>0</v>
      </c>
      <c r="P490" s="6" t="s">
        <v>0</v>
      </c>
      <c r="R490" s="6" t="s">
        <v>0</v>
      </c>
      <c r="S490" s="6" t="s">
        <v>0</v>
      </c>
      <c r="U490" s="6" t="s">
        <v>0</v>
      </c>
      <c r="V490" s="6" t="s">
        <v>0</v>
      </c>
    </row>
    <row r="491" spans="1:22" x14ac:dyDescent="0.3">
      <c r="A491" s="11" t="s">
        <v>584</v>
      </c>
      <c r="B491" s="6" t="s">
        <v>585</v>
      </c>
      <c r="C491" s="7">
        <v>1</v>
      </c>
      <c r="D491" s="6" t="s">
        <v>43</v>
      </c>
      <c r="E491" s="8">
        <v>1088</v>
      </c>
      <c r="F491" s="8">
        <v>1088</v>
      </c>
      <c r="G491" s="7"/>
      <c r="H491" s="9">
        <f t="shared" si="7"/>
        <v>1088</v>
      </c>
      <c r="I491" s="8">
        <v>1088</v>
      </c>
      <c r="J491" s="8">
        <v>1088</v>
      </c>
      <c r="K491" s="8"/>
      <c r="L491" s="6" t="s">
        <v>0</v>
      </c>
      <c r="M491" s="6" t="s">
        <v>0</v>
      </c>
      <c r="O491" s="6" t="s">
        <v>0</v>
      </c>
      <c r="P491" s="6" t="s">
        <v>0</v>
      </c>
      <c r="R491" s="6" t="s">
        <v>0</v>
      </c>
      <c r="S491" s="6" t="s">
        <v>0</v>
      </c>
      <c r="U491" s="6" t="s">
        <v>0</v>
      </c>
      <c r="V491" s="6" t="s">
        <v>0</v>
      </c>
    </row>
    <row r="492" spans="1:22" x14ac:dyDescent="0.3">
      <c r="A492" s="11" t="s">
        <v>586</v>
      </c>
      <c r="B492" s="6" t="s">
        <v>587</v>
      </c>
      <c r="C492" s="7">
        <v>1</v>
      </c>
      <c r="D492" s="6" t="s">
        <v>4</v>
      </c>
      <c r="E492" s="8">
        <v>14400</v>
      </c>
      <c r="F492" s="8">
        <v>14400</v>
      </c>
      <c r="H492" s="9">
        <f t="shared" si="7"/>
        <v>14400</v>
      </c>
      <c r="I492" s="6" t="s">
        <v>0</v>
      </c>
      <c r="J492" s="6" t="s">
        <v>0</v>
      </c>
      <c r="L492" s="8">
        <v>14400</v>
      </c>
      <c r="M492" s="8">
        <v>14400</v>
      </c>
      <c r="N492" s="8"/>
      <c r="O492" s="6" t="s">
        <v>0</v>
      </c>
      <c r="P492" s="6" t="s">
        <v>0</v>
      </c>
      <c r="R492" s="6" t="s">
        <v>0</v>
      </c>
      <c r="S492" s="6" t="s">
        <v>0</v>
      </c>
      <c r="U492" s="6" t="s">
        <v>0</v>
      </c>
      <c r="V492" s="6" t="s">
        <v>0</v>
      </c>
    </row>
  </sheetData>
  <autoFilter ref="A1:AC493" xr:uid="{00000000-0001-0000-0000-000000000000}"/>
  <conditionalFormatting sqref="H2:H492">
    <cfRule type="expression" dxfId="1" priority="1">
      <formula>AND(NOT(F2=""), H2&gt;F2)</formula>
    </cfRule>
    <cfRule type="expression" dxfId="0" priority="2">
      <formula>AND(Q2="", T2="", W2="")</formula>
    </cfRule>
  </conditionalFormatting>
  <pageMargins left="0.7" right="0.7" top="0.75" bottom="0.75" header="0.3" footer="0.3"/>
  <pageSetup orientation="portrait" horizontalDpi="4294967295" verticalDpi="429496729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26A7C-80BB-49A7-9748-0A5664FEC3BF}">
  <sheetPr codeName="Taul3"/>
  <dimension ref="A1:N119"/>
  <sheetViews>
    <sheetView showGridLines="0" tabSelected="1" workbookViewId="0">
      <selection activeCell="B124" sqref="B124"/>
    </sheetView>
  </sheetViews>
  <sheetFormatPr defaultRowHeight="14.4" x14ac:dyDescent="0.3"/>
  <cols>
    <col min="1" max="1" width="8.5546875" style="1" customWidth="1"/>
    <col min="2" max="2" width="34.33203125" style="1" customWidth="1"/>
    <col min="3" max="3" width="14.44140625" style="4" customWidth="1"/>
    <col min="4" max="4" width="12.44140625" style="4" customWidth="1"/>
    <col min="5" max="5" width="14.6640625" style="4" customWidth="1"/>
    <col min="6" max="6" width="12.33203125" style="4" customWidth="1"/>
    <col min="7" max="7" width="17" style="4" customWidth="1"/>
    <col min="8" max="8" width="19.5546875" style="4" customWidth="1"/>
    <col min="9" max="9" width="32.6640625" style="4" customWidth="1"/>
    <col min="10" max="10" width="20" style="4" customWidth="1"/>
    <col min="11" max="11" width="15.33203125" style="5" customWidth="1"/>
    <col min="12" max="12" width="13.6640625" style="4" customWidth="1"/>
    <col min="13" max="13" width="17.109375" style="4" customWidth="1"/>
    <col min="14" max="14" width="16.6640625" style="4" customWidth="1"/>
  </cols>
  <sheetData>
    <row r="1" spans="1:14" x14ac:dyDescent="0.3">
      <c r="A1" s="1" t="s">
        <v>612</v>
      </c>
      <c r="B1" s="1" t="s">
        <v>613</v>
      </c>
      <c r="C1" s="2" t="s">
        <v>614</v>
      </c>
      <c r="D1" s="2" t="s">
        <v>615</v>
      </c>
      <c r="E1" s="2" t="s">
        <v>610</v>
      </c>
      <c r="F1" s="2" t="s">
        <v>616</v>
      </c>
      <c r="G1" s="2" t="s">
        <v>617</v>
      </c>
      <c r="H1" s="2" t="s">
        <v>618</v>
      </c>
      <c r="I1" s="2" t="s">
        <v>619</v>
      </c>
      <c r="J1" s="2" t="s">
        <v>620</v>
      </c>
      <c r="K1" s="2" t="s">
        <v>621</v>
      </c>
      <c r="L1" s="3" t="s">
        <v>622</v>
      </c>
      <c r="M1" s="3" t="s">
        <v>623</v>
      </c>
      <c r="N1" s="3" t="s">
        <v>624</v>
      </c>
    </row>
    <row r="2" spans="1:14" x14ac:dyDescent="0.3">
      <c r="A2" s="1" t="s">
        <v>5</v>
      </c>
      <c r="B2" s="1" t="s">
        <v>625</v>
      </c>
      <c r="C2" s="4">
        <v>1060155</v>
      </c>
      <c r="D2" s="4">
        <v>0</v>
      </c>
      <c r="E2" s="4">
        <v>32659.95</v>
      </c>
      <c r="F2" s="4">
        <v>32659.95</v>
      </c>
      <c r="G2" s="4">
        <v>1060155</v>
      </c>
      <c r="H2" s="4">
        <v>0</v>
      </c>
      <c r="I2" s="4">
        <v>1027495.05</v>
      </c>
      <c r="J2" s="4">
        <v>1027495.05</v>
      </c>
      <c r="K2" s="5">
        <v>3.0806E-2</v>
      </c>
      <c r="L2" s="4">
        <v>0</v>
      </c>
      <c r="M2" s="4">
        <v>0</v>
      </c>
      <c r="N2" s="4">
        <v>0</v>
      </c>
    </row>
    <row r="3" spans="1:14" x14ac:dyDescent="0.3">
      <c r="A3" s="1" t="s">
        <v>9</v>
      </c>
      <c r="B3" s="1" t="s">
        <v>626</v>
      </c>
      <c r="C3" s="4">
        <v>6500</v>
      </c>
      <c r="D3" s="4">
        <v>0</v>
      </c>
      <c r="E3" s="4">
        <v>2911.47</v>
      </c>
      <c r="F3" s="4">
        <v>2911.47</v>
      </c>
      <c r="G3" s="4">
        <v>6500</v>
      </c>
      <c r="H3" s="4">
        <v>0</v>
      </c>
      <c r="I3" s="4">
        <v>3588.53</v>
      </c>
      <c r="J3" s="4">
        <v>3588.53</v>
      </c>
      <c r="K3" s="5">
        <v>0.44791799999999998</v>
      </c>
      <c r="L3" s="4">
        <v>0</v>
      </c>
      <c r="M3" s="4">
        <v>0</v>
      </c>
      <c r="N3" s="4">
        <v>0</v>
      </c>
    </row>
    <row r="4" spans="1:14" x14ac:dyDescent="0.3">
      <c r="A4" s="1" t="s">
        <v>11</v>
      </c>
      <c r="B4" s="1" t="s">
        <v>627</v>
      </c>
      <c r="C4" s="4">
        <v>20000</v>
      </c>
      <c r="D4" s="4">
        <v>0</v>
      </c>
      <c r="E4" s="4">
        <v>18462.5</v>
      </c>
      <c r="F4" s="4">
        <v>18650</v>
      </c>
      <c r="G4" s="4">
        <v>20000</v>
      </c>
      <c r="H4" s="4">
        <v>0</v>
      </c>
      <c r="I4" s="4">
        <v>1537.5</v>
      </c>
      <c r="J4" s="4">
        <v>1537.5</v>
      </c>
      <c r="K4" s="5">
        <v>0.92312499999999997</v>
      </c>
      <c r="L4" s="4">
        <v>0</v>
      </c>
      <c r="M4" s="4">
        <v>0</v>
      </c>
      <c r="N4" s="4">
        <v>0</v>
      </c>
    </row>
    <row r="5" spans="1:14" x14ac:dyDescent="0.3">
      <c r="A5" s="1" t="s">
        <v>13</v>
      </c>
      <c r="B5" s="1" t="s">
        <v>628</v>
      </c>
      <c r="C5" s="4">
        <v>3500</v>
      </c>
      <c r="D5" s="4">
        <v>0</v>
      </c>
      <c r="E5" s="4">
        <v>2029.99</v>
      </c>
      <c r="F5" s="4">
        <v>2029.99</v>
      </c>
      <c r="G5" s="4">
        <v>3500</v>
      </c>
      <c r="H5" s="4">
        <v>0</v>
      </c>
      <c r="I5" s="4">
        <v>1470.01</v>
      </c>
      <c r="J5" s="4">
        <v>1470.01</v>
      </c>
      <c r="K5" s="5">
        <v>0.57999699999999998</v>
      </c>
      <c r="L5" s="4">
        <v>0</v>
      </c>
      <c r="M5" s="4">
        <v>0</v>
      </c>
      <c r="N5" s="4">
        <v>0</v>
      </c>
    </row>
    <row r="6" spans="1:14" x14ac:dyDescent="0.3">
      <c r="A6" s="1" t="s">
        <v>15</v>
      </c>
      <c r="B6" s="1" t="s">
        <v>629</v>
      </c>
      <c r="C6" s="4">
        <v>4000</v>
      </c>
      <c r="D6" s="4">
        <v>0</v>
      </c>
      <c r="E6" s="4">
        <v>4000</v>
      </c>
      <c r="F6" s="4">
        <v>4000</v>
      </c>
      <c r="G6" s="4">
        <v>4000</v>
      </c>
      <c r="H6" s="4">
        <v>0</v>
      </c>
      <c r="I6" s="4">
        <v>0</v>
      </c>
      <c r="J6" s="4">
        <v>0</v>
      </c>
      <c r="K6" s="5">
        <v>1</v>
      </c>
      <c r="L6" s="4">
        <v>0</v>
      </c>
      <c r="M6" s="4">
        <v>0</v>
      </c>
      <c r="N6" s="4">
        <v>0</v>
      </c>
    </row>
    <row r="7" spans="1:14" x14ac:dyDescent="0.3">
      <c r="A7" s="1" t="s">
        <v>17</v>
      </c>
      <c r="B7" s="1" t="s">
        <v>630</v>
      </c>
      <c r="C7" s="4">
        <v>1100</v>
      </c>
      <c r="D7" s="4">
        <v>0</v>
      </c>
      <c r="E7" s="4">
        <v>1004.5</v>
      </c>
      <c r="F7" s="4">
        <v>1004.5</v>
      </c>
      <c r="G7" s="4">
        <v>1100</v>
      </c>
      <c r="H7" s="4">
        <v>0</v>
      </c>
      <c r="I7" s="4">
        <v>95.5</v>
      </c>
      <c r="J7" s="4">
        <v>95.5</v>
      </c>
      <c r="K7" s="5">
        <v>0.91318100000000002</v>
      </c>
      <c r="L7" s="4">
        <v>0</v>
      </c>
      <c r="M7" s="4">
        <v>0</v>
      </c>
      <c r="N7" s="4">
        <v>0</v>
      </c>
    </row>
    <row r="8" spans="1:14" x14ac:dyDescent="0.3">
      <c r="A8" s="1" t="s">
        <v>19</v>
      </c>
      <c r="B8" s="1" t="s">
        <v>631</v>
      </c>
      <c r="C8" s="4">
        <v>1500</v>
      </c>
      <c r="D8" s="4">
        <v>0</v>
      </c>
      <c r="E8" s="4">
        <v>0</v>
      </c>
      <c r="F8" s="4">
        <v>0</v>
      </c>
      <c r="G8" s="4">
        <v>1500</v>
      </c>
      <c r="H8" s="4">
        <v>0</v>
      </c>
      <c r="I8" s="4">
        <v>1500</v>
      </c>
      <c r="J8" s="4">
        <v>1500</v>
      </c>
      <c r="K8" s="5">
        <v>0</v>
      </c>
      <c r="L8" s="4">
        <v>0</v>
      </c>
      <c r="M8" s="4">
        <v>0</v>
      </c>
      <c r="N8" s="4">
        <v>0</v>
      </c>
    </row>
    <row r="9" spans="1:14" x14ac:dyDescent="0.3">
      <c r="A9" s="1" t="s">
        <v>21</v>
      </c>
      <c r="B9" s="1" t="s">
        <v>632</v>
      </c>
      <c r="C9" s="4">
        <v>3000</v>
      </c>
      <c r="D9" s="4">
        <v>0</v>
      </c>
      <c r="E9" s="4">
        <v>266.3</v>
      </c>
      <c r="F9" s="4">
        <v>266.3</v>
      </c>
      <c r="G9" s="4">
        <v>3000</v>
      </c>
      <c r="H9" s="4">
        <v>0</v>
      </c>
      <c r="I9" s="4">
        <v>2733.7</v>
      </c>
      <c r="J9" s="4">
        <v>2733.7</v>
      </c>
      <c r="K9" s="5">
        <v>8.8765999999999998E-2</v>
      </c>
      <c r="L9" s="4">
        <v>0</v>
      </c>
      <c r="M9" s="4">
        <v>0</v>
      </c>
      <c r="N9" s="4">
        <v>0</v>
      </c>
    </row>
    <row r="10" spans="1:14" x14ac:dyDescent="0.3">
      <c r="A10" s="1" t="s">
        <v>23</v>
      </c>
      <c r="B10" s="1" t="s">
        <v>24</v>
      </c>
      <c r="C10" s="4">
        <v>4000</v>
      </c>
      <c r="D10" s="4">
        <v>0</v>
      </c>
      <c r="E10" s="4">
        <v>3886.51</v>
      </c>
      <c r="F10" s="4">
        <v>3886.51</v>
      </c>
      <c r="G10" s="4">
        <v>4000</v>
      </c>
      <c r="H10" s="4">
        <v>0</v>
      </c>
      <c r="I10" s="4">
        <v>113.49</v>
      </c>
      <c r="J10" s="4">
        <v>113.49</v>
      </c>
      <c r="K10" s="5">
        <v>0.97162700000000002</v>
      </c>
      <c r="L10" s="4">
        <v>0</v>
      </c>
      <c r="M10" s="4">
        <v>0</v>
      </c>
      <c r="N10" s="4">
        <v>0</v>
      </c>
    </row>
    <row r="11" spans="1:14" x14ac:dyDescent="0.3">
      <c r="A11" s="1" t="s">
        <v>25</v>
      </c>
      <c r="B11" s="1" t="s">
        <v>26</v>
      </c>
      <c r="C11" s="4">
        <v>21250</v>
      </c>
      <c r="D11" s="4">
        <v>0</v>
      </c>
      <c r="E11" s="4">
        <v>0</v>
      </c>
      <c r="F11" s="4">
        <v>0</v>
      </c>
      <c r="G11" s="4">
        <v>21250</v>
      </c>
      <c r="H11" s="4">
        <v>0</v>
      </c>
      <c r="I11" s="4">
        <v>21250</v>
      </c>
      <c r="J11" s="4">
        <v>21250</v>
      </c>
      <c r="K11" s="5">
        <v>0</v>
      </c>
      <c r="L11" s="4">
        <v>0</v>
      </c>
      <c r="M11" s="4">
        <v>0</v>
      </c>
      <c r="N11" s="4">
        <v>0</v>
      </c>
    </row>
    <row r="12" spans="1:14" x14ac:dyDescent="0.3">
      <c r="A12" s="1" t="s">
        <v>27</v>
      </c>
      <c r="B12" s="1" t="s">
        <v>28</v>
      </c>
      <c r="C12" s="4">
        <v>7900</v>
      </c>
      <c r="D12" s="4">
        <v>0</v>
      </c>
      <c r="E12" s="4">
        <v>0</v>
      </c>
      <c r="F12" s="4">
        <v>0</v>
      </c>
      <c r="G12" s="4">
        <v>7900</v>
      </c>
      <c r="H12" s="4">
        <v>0</v>
      </c>
      <c r="I12" s="4">
        <v>7900</v>
      </c>
      <c r="J12" s="4">
        <v>7900</v>
      </c>
      <c r="K12" s="5">
        <v>0</v>
      </c>
      <c r="L12" s="4">
        <v>0</v>
      </c>
      <c r="M12" s="4">
        <v>0</v>
      </c>
      <c r="N12" s="4">
        <v>0</v>
      </c>
    </row>
    <row r="13" spans="1:14" x14ac:dyDescent="0.3">
      <c r="A13" s="1" t="s">
        <v>29</v>
      </c>
      <c r="B13" s="1" t="s">
        <v>30</v>
      </c>
      <c r="C13" s="4">
        <v>28500</v>
      </c>
      <c r="D13" s="4">
        <v>0</v>
      </c>
      <c r="E13" s="4">
        <v>0</v>
      </c>
      <c r="F13" s="4">
        <v>0</v>
      </c>
      <c r="G13" s="4">
        <v>28500</v>
      </c>
      <c r="H13" s="4">
        <v>0</v>
      </c>
      <c r="I13" s="4">
        <v>28500</v>
      </c>
      <c r="J13" s="4">
        <v>28500</v>
      </c>
      <c r="K13" s="5">
        <v>0</v>
      </c>
      <c r="L13" s="4">
        <v>0</v>
      </c>
      <c r="M13" s="4">
        <v>0</v>
      </c>
      <c r="N13" s="4">
        <v>0</v>
      </c>
    </row>
    <row r="14" spans="1:14" x14ac:dyDescent="0.3">
      <c r="A14" s="1" t="s">
        <v>31</v>
      </c>
      <c r="B14" s="1" t="s">
        <v>32</v>
      </c>
      <c r="C14" s="4">
        <v>8900</v>
      </c>
      <c r="D14" s="4">
        <v>0</v>
      </c>
      <c r="E14" s="4">
        <v>0</v>
      </c>
      <c r="F14" s="4">
        <v>0</v>
      </c>
      <c r="G14" s="4">
        <v>8900</v>
      </c>
      <c r="H14" s="4">
        <v>0</v>
      </c>
      <c r="I14" s="4">
        <v>8900</v>
      </c>
      <c r="J14" s="4">
        <v>8900</v>
      </c>
      <c r="K14" s="5">
        <v>0</v>
      </c>
      <c r="L14" s="4">
        <v>0</v>
      </c>
      <c r="M14" s="4">
        <v>0</v>
      </c>
      <c r="N14" s="4">
        <v>0</v>
      </c>
    </row>
    <row r="15" spans="1:14" x14ac:dyDescent="0.3">
      <c r="A15" s="1" t="s">
        <v>33</v>
      </c>
      <c r="B15" s="1" t="s">
        <v>34</v>
      </c>
      <c r="C15" s="4">
        <v>10800</v>
      </c>
      <c r="D15" s="4">
        <v>0</v>
      </c>
      <c r="E15" s="4">
        <v>0</v>
      </c>
      <c r="F15" s="4">
        <v>0</v>
      </c>
      <c r="G15" s="4">
        <v>10800</v>
      </c>
      <c r="H15" s="4">
        <v>0</v>
      </c>
      <c r="I15" s="4">
        <v>10800</v>
      </c>
      <c r="J15" s="4">
        <v>10800</v>
      </c>
      <c r="K15" s="5">
        <v>0</v>
      </c>
      <c r="L15" s="4">
        <v>0</v>
      </c>
      <c r="M15" s="4">
        <v>0</v>
      </c>
      <c r="N15" s="4">
        <v>0</v>
      </c>
    </row>
    <row r="16" spans="1:14" x14ac:dyDescent="0.3">
      <c r="A16" s="1" t="s">
        <v>633</v>
      </c>
      <c r="B16" s="1" t="s">
        <v>634</v>
      </c>
      <c r="C16" s="4">
        <v>30000</v>
      </c>
      <c r="D16" s="4">
        <v>0</v>
      </c>
      <c r="E16" s="4">
        <v>0</v>
      </c>
      <c r="F16" s="4">
        <v>0</v>
      </c>
      <c r="G16" s="4">
        <v>30000</v>
      </c>
      <c r="H16" s="4">
        <v>0</v>
      </c>
      <c r="I16" s="4">
        <v>30000</v>
      </c>
      <c r="J16" s="4">
        <v>30000</v>
      </c>
      <c r="K16" s="5">
        <v>0</v>
      </c>
      <c r="L16" s="4">
        <v>0</v>
      </c>
      <c r="M16" s="4">
        <v>0</v>
      </c>
      <c r="N16" s="4">
        <v>0</v>
      </c>
    </row>
    <row r="17" spans="1:14" x14ac:dyDescent="0.3">
      <c r="A17" s="1" t="s">
        <v>35</v>
      </c>
      <c r="B17" s="1" t="s">
        <v>635</v>
      </c>
      <c r="C17" s="4">
        <v>27200</v>
      </c>
      <c r="D17" s="4">
        <v>25000</v>
      </c>
      <c r="E17" s="4">
        <v>27173.4</v>
      </c>
      <c r="F17" s="4">
        <v>27173.4</v>
      </c>
      <c r="G17" s="4">
        <v>27200</v>
      </c>
      <c r="H17" s="4">
        <v>0</v>
      </c>
      <c r="I17" s="4">
        <v>26.6</v>
      </c>
      <c r="J17" s="4">
        <v>26.6</v>
      </c>
      <c r="K17" s="5">
        <v>0.99902199999999997</v>
      </c>
      <c r="L17" s="4">
        <v>0</v>
      </c>
      <c r="M17" s="4">
        <v>0</v>
      </c>
      <c r="N17" s="4">
        <v>0</v>
      </c>
    </row>
    <row r="18" spans="1:14" x14ac:dyDescent="0.3">
      <c r="A18" s="1" t="s">
        <v>37</v>
      </c>
      <c r="B18" s="1" t="s">
        <v>636</v>
      </c>
      <c r="C18" s="4">
        <v>136512.09086200001</v>
      </c>
      <c r="D18" s="4">
        <v>155000</v>
      </c>
      <c r="E18" s="4">
        <v>129386.41</v>
      </c>
      <c r="F18" s="4">
        <v>129386.41</v>
      </c>
      <c r="G18" s="4">
        <v>136512.09086200001</v>
      </c>
      <c r="H18" s="4">
        <v>0</v>
      </c>
      <c r="I18" s="4">
        <v>7125.6808620000002</v>
      </c>
      <c r="J18" s="4">
        <v>7125.6808620000002</v>
      </c>
      <c r="K18" s="5">
        <v>0.947801</v>
      </c>
      <c r="L18" s="4">
        <v>0</v>
      </c>
      <c r="M18" s="4">
        <v>0</v>
      </c>
      <c r="N18" s="4">
        <v>0</v>
      </c>
    </row>
    <row r="19" spans="1:14" x14ac:dyDescent="0.3">
      <c r="A19" s="1" t="s">
        <v>60</v>
      </c>
      <c r="B19" s="1" t="s">
        <v>637</v>
      </c>
      <c r="C19" s="4">
        <v>37500</v>
      </c>
      <c r="D19" s="4">
        <v>37217</v>
      </c>
      <c r="E19" s="4">
        <v>37217</v>
      </c>
      <c r="F19" s="4">
        <v>37217</v>
      </c>
      <c r="G19" s="4">
        <v>37500</v>
      </c>
      <c r="H19" s="4">
        <v>0</v>
      </c>
      <c r="I19" s="4">
        <v>283</v>
      </c>
      <c r="J19" s="4">
        <v>283</v>
      </c>
      <c r="K19" s="5">
        <v>0.99245300000000003</v>
      </c>
      <c r="L19" s="4">
        <v>0</v>
      </c>
      <c r="M19" s="4">
        <v>0</v>
      </c>
      <c r="N19" s="4">
        <v>0</v>
      </c>
    </row>
    <row r="20" spans="1:14" x14ac:dyDescent="0.3">
      <c r="A20" s="1" t="s">
        <v>62</v>
      </c>
      <c r="B20" s="1" t="s">
        <v>638</v>
      </c>
      <c r="C20" s="4">
        <v>49525.518065999997</v>
      </c>
      <c r="D20" s="4">
        <v>0</v>
      </c>
      <c r="E20" s="4">
        <v>32053.87</v>
      </c>
      <c r="F20" s="4">
        <v>32053.87</v>
      </c>
      <c r="G20" s="4">
        <v>49525.518065999997</v>
      </c>
      <c r="H20" s="4">
        <v>0</v>
      </c>
      <c r="I20" s="4">
        <v>17471.648066000002</v>
      </c>
      <c r="J20" s="4">
        <v>17471.648066000002</v>
      </c>
      <c r="K20" s="5">
        <v>0.64721899999999999</v>
      </c>
      <c r="L20" s="4">
        <v>0</v>
      </c>
      <c r="M20" s="4">
        <v>0</v>
      </c>
      <c r="N20" s="4">
        <v>0</v>
      </c>
    </row>
    <row r="21" spans="1:14" x14ac:dyDescent="0.3">
      <c r="A21" s="1" t="s">
        <v>66</v>
      </c>
      <c r="B21" s="1" t="s">
        <v>639</v>
      </c>
      <c r="C21" s="4">
        <v>9172.4432919999999</v>
      </c>
      <c r="D21" s="4">
        <v>0</v>
      </c>
      <c r="E21" s="4">
        <v>0</v>
      </c>
      <c r="F21" s="4">
        <v>0</v>
      </c>
      <c r="G21" s="4">
        <v>9172.4432919999999</v>
      </c>
      <c r="H21" s="4">
        <v>0</v>
      </c>
      <c r="I21" s="4">
        <v>9172.4432919999999</v>
      </c>
      <c r="J21" s="4">
        <v>9172.4432919999999</v>
      </c>
      <c r="K21" s="5">
        <v>0</v>
      </c>
      <c r="L21" s="4">
        <v>0</v>
      </c>
      <c r="M21" s="4">
        <v>0</v>
      </c>
      <c r="N21" s="4">
        <v>0</v>
      </c>
    </row>
    <row r="22" spans="1:14" x14ac:dyDescent="0.3">
      <c r="A22" s="1" t="s">
        <v>70</v>
      </c>
      <c r="B22" s="1" t="s">
        <v>640</v>
      </c>
      <c r="C22" s="4">
        <v>30000</v>
      </c>
      <c r="D22" s="4">
        <v>0</v>
      </c>
      <c r="E22" s="4">
        <v>0</v>
      </c>
      <c r="F22" s="4">
        <v>0</v>
      </c>
      <c r="G22" s="4">
        <v>30000</v>
      </c>
      <c r="H22" s="4">
        <v>0</v>
      </c>
      <c r="I22" s="4">
        <v>30000</v>
      </c>
      <c r="J22" s="4">
        <v>30000</v>
      </c>
      <c r="K22" s="5">
        <v>0</v>
      </c>
      <c r="L22" s="4">
        <v>0</v>
      </c>
      <c r="M22" s="4">
        <v>0</v>
      </c>
      <c r="N22" s="4">
        <v>0</v>
      </c>
    </row>
    <row r="23" spans="1:14" x14ac:dyDescent="0.3">
      <c r="A23" s="1" t="s">
        <v>72</v>
      </c>
      <c r="B23" s="1" t="s">
        <v>641</v>
      </c>
      <c r="C23" s="4">
        <v>22398</v>
      </c>
      <c r="D23" s="4">
        <v>0</v>
      </c>
      <c r="E23" s="4">
        <v>0</v>
      </c>
      <c r="F23" s="4">
        <v>0</v>
      </c>
      <c r="G23" s="4">
        <v>22398</v>
      </c>
      <c r="H23" s="4">
        <v>0</v>
      </c>
      <c r="I23" s="4">
        <v>22398</v>
      </c>
      <c r="J23" s="4">
        <v>22398</v>
      </c>
      <c r="K23" s="5">
        <v>0</v>
      </c>
      <c r="L23" s="4">
        <v>0</v>
      </c>
      <c r="M23" s="4">
        <v>0</v>
      </c>
      <c r="N23" s="4">
        <v>0</v>
      </c>
    </row>
    <row r="24" spans="1:14" x14ac:dyDescent="0.3">
      <c r="A24" s="1" t="s">
        <v>77</v>
      </c>
      <c r="B24" s="1" t="s">
        <v>642</v>
      </c>
      <c r="C24" s="4">
        <v>8415.7588820000001</v>
      </c>
      <c r="D24" s="4">
        <v>0</v>
      </c>
      <c r="E24" s="4">
        <v>4319.1499999999996</v>
      </c>
      <c r="F24" s="4">
        <v>4998.3</v>
      </c>
      <c r="G24" s="4">
        <v>8415.7587179999991</v>
      </c>
      <c r="H24" s="4">
        <v>1.64E-4</v>
      </c>
      <c r="I24" s="4">
        <v>4096.6088820000004</v>
      </c>
      <c r="J24" s="4">
        <v>4096.6087180000004</v>
      </c>
      <c r="K24" s="5">
        <v>0.51322100000000004</v>
      </c>
      <c r="L24" s="4">
        <v>0</v>
      </c>
      <c r="M24" s="4">
        <v>0</v>
      </c>
      <c r="N24" s="4">
        <v>0</v>
      </c>
    </row>
    <row r="25" spans="1:14" x14ac:dyDescent="0.3">
      <c r="A25" s="1" t="s">
        <v>83</v>
      </c>
      <c r="B25" s="1" t="s">
        <v>643</v>
      </c>
      <c r="C25" s="4">
        <v>115098.252204</v>
      </c>
      <c r="D25" s="4">
        <v>0</v>
      </c>
      <c r="E25" s="4">
        <v>119044.06</v>
      </c>
      <c r="F25" s="4">
        <v>120786.06</v>
      </c>
      <c r="G25" s="4">
        <v>115098.252204</v>
      </c>
      <c r="H25" s="4">
        <v>0</v>
      </c>
      <c r="I25" s="4">
        <v>-3945.8077960000001</v>
      </c>
      <c r="J25" s="4">
        <v>-3945.8077960000001</v>
      </c>
      <c r="K25" s="5">
        <v>1.0342819999999999</v>
      </c>
      <c r="L25" s="4">
        <v>0</v>
      </c>
      <c r="M25" s="4">
        <v>0</v>
      </c>
      <c r="N25" s="4">
        <v>0</v>
      </c>
    </row>
    <row r="26" spans="1:14" x14ac:dyDescent="0.3">
      <c r="A26" s="1" t="s">
        <v>109</v>
      </c>
      <c r="B26" s="1" t="s">
        <v>644</v>
      </c>
      <c r="C26" s="4">
        <v>24796.373829</v>
      </c>
      <c r="D26" s="4">
        <v>22320</v>
      </c>
      <c r="E26" s="4">
        <v>10335.49</v>
      </c>
      <c r="F26" s="4">
        <v>11613.89</v>
      </c>
      <c r="G26" s="4">
        <v>24796.373820000001</v>
      </c>
      <c r="H26" s="4">
        <v>9.0000000000000002E-6</v>
      </c>
      <c r="I26" s="4">
        <v>14460.883829</v>
      </c>
      <c r="J26" s="4">
        <v>14460.883819999999</v>
      </c>
      <c r="K26" s="5">
        <v>0.41681400000000002</v>
      </c>
      <c r="L26" s="4">
        <v>0</v>
      </c>
      <c r="M26" s="4">
        <v>0</v>
      </c>
      <c r="N26" s="4">
        <v>0</v>
      </c>
    </row>
    <row r="27" spans="1:14" x14ac:dyDescent="0.3">
      <c r="A27" s="1" t="s">
        <v>122</v>
      </c>
      <c r="B27" s="1" t="s">
        <v>645</v>
      </c>
      <c r="C27" s="4">
        <v>45709.008673999997</v>
      </c>
      <c r="D27" s="4">
        <v>0</v>
      </c>
      <c r="E27" s="4">
        <v>24015.06</v>
      </c>
      <c r="F27" s="4">
        <v>28928.91</v>
      </c>
      <c r="G27" s="4">
        <v>45709.005738</v>
      </c>
      <c r="H27" s="4">
        <v>2.9359999999999998E-3</v>
      </c>
      <c r="I27" s="4">
        <v>21693.948673999999</v>
      </c>
      <c r="J27" s="4">
        <v>21693.945737999999</v>
      </c>
      <c r="K27" s="5">
        <v>0.52539000000000002</v>
      </c>
      <c r="L27" s="4">
        <v>0</v>
      </c>
      <c r="M27" s="4">
        <v>0</v>
      </c>
      <c r="N27" s="4">
        <v>0</v>
      </c>
    </row>
    <row r="28" spans="1:14" x14ac:dyDescent="0.3">
      <c r="A28" s="1" t="s">
        <v>144</v>
      </c>
      <c r="B28" s="1" t="s">
        <v>646</v>
      </c>
      <c r="C28" s="4">
        <v>25917.543030000001</v>
      </c>
      <c r="D28" s="4">
        <v>0</v>
      </c>
      <c r="E28" s="4">
        <v>567.41999999999996</v>
      </c>
      <c r="F28" s="4">
        <v>567.41999999999996</v>
      </c>
      <c r="G28" s="4">
        <v>25917.543882999998</v>
      </c>
      <c r="H28" s="4">
        <v>-8.5300000000000003E-4</v>
      </c>
      <c r="I28" s="4">
        <v>25350.123029999999</v>
      </c>
      <c r="J28" s="4">
        <v>25350.123883</v>
      </c>
      <c r="K28" s="5">
        <v>2.1892999999999999E-2</v>
      </c>
      <c r="L28" s="4">
        <v>0</v>
      </c>
      <c r="M28" s="4">
        <v>0</v>
      </c>
      <c r="N28" s="4">
        <v>0</v>
      </c>
    </row>
    <row r="29" spans="1:14" x14ac:dyDescent="0.3">
      <c r="A29" s="1" t="s">
        <v>147</v>
      </c>
      <c r="B29" s="1" t="s">
        <v>647</v>
      </c>
      <c r="C29" s="4">
        <v>7033.5601360000001</v>
      </c>
      <c r="D29" s="4">
        <v>0</v>
      </c>
      <c r="E29" s="4">
        <v>0</v>
      </c>
      <c r="F29" s="4">
        <v>0</v>
      </c>
      <c r="G29" s="4">
        <v>7033.5601100000003</v>
      </c>
      <c r="H29" s="4">
        <v>2.5999999999999998E-5</v>
      </c>
      <c r="I29" s="4">
        <v>7033.5601360000001</v>
      </c>
      <c r="J29" s="4">
        <v>7033.5601100000003</v>
      </c>
      <c r="K29" s="5">
        <v>0</v>
      </c>
      <c r="L29" s="4">
        <v>0</v>
      </c>
      <c r="M29" s="4">
        <v>0</v>
      </c>
      <c r="N29" s="4">
        <v>0</v>
      </c>
    </row>
    <row r="30" spans="1:14" x14ac:dyDescent="0.3">
      <c r="A30" s="1" t="s">
        <v>177</v>
      </c>
      <c r="B30" s="1" t="s">
        <v>648</v>
      </c>
      <c r="C30" s="4">
        <v>14325.8</v>
      </c>
      <c r="D30" s="4">
        <v>13000</v>
      </c>
      <c r="E30" s="4">
        <v>12999.98</v>
      </c>
      <c r="F30" s="4">
        <v>12999.98</v>
      </c>
      <c r="G30" s="4">
        <v>14325.8</v>
      </c>
      <c r="H30" s="4">
        <v>0</v>
      </c>
      <c r="I30" s="4">
        <v>1325.82</v>
      </c>
      <c r="J30" s="4">
        <v>1325.82</v>
      </c>
      <c r="K30" s="5">
        <v>0.90745200000000004</v>
      </c>
      <c r="L30" s="4">
        <v>0</v>
      </c>
      <c r="M30" s="4">
        <v>0</v>
      </c>
      <c r="N30" s="4">
        <v>0</v>
      </c>
    </row>
    <row r="31" spans="1:14" x14ac:dyDescent="0.3">
      <c r="A31" s="1" t="s">
        <v>183</v>
      </c>
      <c r="B31" s="1" t="s">
        <v>649</v>
      </c>
      <c r="C31" s="4">
        <v>160581.17019</v>
      </c>
      <c r="D31" s="4">
        <v>153211</v>
      </c>
      <c r="E31" s="4">
        <v>51016.12</v>
      </c>
      <c r="F31" s="4">
        <v>52141.72</v>
      </c>
      <c r="G31" s="4">
        <v>160581.17000000001</v>
      </c>
      <c r="H31" s="4">
        <v>1.9000000000000001E-4</v>
      </c>
      <c r="I31" s="4">
        <v>109565.05018999999</v>
      </c>
      <c r="J31" s="4">
        <v>109565.05</v>
      </c>
      <c r="K31" s="5">
        <v>0.31769599999999998</v>
      </c>
      <c r="L31" s="4">
        <v>0</v>
      </c>
      <c r="M31" s="4">
        <v>0</v>
      </c>
      <c r="N31" s="4">
        <v>0</v>
      </c>
    </row>
    <row r="32" spans="1:14" x14ac:dyDescent="0.3">
      <c r="A32" s="1" t="s">
        <v>188</v>
      </c>
      <c r="B32" s="1" t="s">
        <v>650</v>
      </c>
      <c r="C32" s="4">
        <v>229068.71834600001</v>
      </c>
      <c r="D32" s="4">
        <v>157291</v>
      </c>
      <c r="E32" s="4">
        <v>21875.17</v>
      </c>
      <c r="F32" s="4">
        <v>29985.02</v>
      </c>
      <c r="G32" s="4">
        <v>229068.71720000001</v>
      </c>
      <c r="H32" s="4">
        <v>1.1460000000000001E-3</v>
      </c>
      <c r="I32" s="4">
        <v>207193.548346</v>
      </c>
      <c r="J32" s="4">
        <v>207193.5472</v>
      </c>
      <c r="K32" s="5">
        <v>9.5495999999999998E-2</v>
      </c>
      <c r="L32" s="4">
        <v>0</v>
      </c>
      <c r="M32" s="4">
        <v>0</v>
      </c>
      <c r="N32" s="4">
        <v>0</v>
      </c>
    </row>
    <row r="33" spans="1:14" x14ac:dyDescent="0.3">
      <c r="A33" s="1" t="s">
        <v>207</v>
      </c>
      <c r="B33" s="1" t="s">
        <v>651</v>
      </c>
      <c r="C33" s="4">
        <v>89799.244070999994</v>
      </c>
      <c r="D33" s="4">
        <v>77164</v>
      </c>
      <c r="E33" s="4">
        <v>26919.119999999999</v>
      </c>
      <c r="F33" s="4">
        <v>28319.61</v>
      </c>
      <c r="G33" s="4">
        <v>89799.244000000006</v>
      </c>
      <c r="H33" s="4">
        <v>7.1000000000000005E-5</v>
      </c>
      <c r="I33" s="4">
        <v>62880.124070999998</v>
      </c>
      <c r="J33" s="4">
        <v>62880.124000000003</v>
      </c>
      <c r="K33" s="5">
        <v>0.29976999999999998</v>
      </c>
      <c r="L33" s="4">
        <v>0</v>
      </c>
      <c r="M33" s="4">
        <v>0</v>
      </c>
      <c r="N33" s="4">
        <v>0</v>
      </c>
    </row>
    <row r="34" spans="1:14" x14ac:dyDescent="0.3">
      <c r="A34" s="1" t="s">
        <v>211</v>
      </c>
      <c r="B34" s="1" t="s">
        <v>652</v>
      </c>
      <c r="C34" s="4">
        <v>1209.7750000000001</v>
      </c>
      <c r="D34" s="4">
        <v>19291</v>
      </c>
      <c r="E34" s="4">
        <v>3257.1</v>
      </c>
      <c r="F34" s="4">
        <v>3257.1</v>
      </c>
      <c r="G34" s="4">
        <v>1209.7750000000001</v>
      </c>
      <c r="H34" s="4">
        <v>0</v>
      </c>
      <c r="I34" s="4">
        <v>-2047.325</v>
      </c>
      <c r="J34" s="4">
        <v>-2047.325</v>
      </c>
      <c r="K34" s="5">
        <v>2.6923180000000002</v>
      </c>
      <c r="L34" s="4">
        <v>0</v>
      </c>
      <c r="M34" s="4">
        <v>0</v>
      </c>
      <c r="N34" s="4">
        <v>0</v>
      </c>
    </row>
    <row r="35" spans="1:14" x14ac:dyDescent="0.3">
      <c r="A35" s="1" t="s">
        <v>215</v>
      </c>
      <c r="B35" s="1" t="s">
        <v>653</v>
      </c>
      <c r="C35" s="4">
        <v>17773.7</v>
      </c>
      <c r="D35" s="4">
        <v>0</v>
      </c>
      <c r="E35" s="4">
        <v>0</v>
      </c>
      <c r="F35" s="4">
        <v>30.63</v>
      </c>
      <c r="G35" s="4">
        <v>17773.7</v>
      </c>
      <c r="H35" s="4">
        <v>0</v>
      </c>
      <c r="I35" s="4">
        <v>17773.7</v>
      </c>
      <c r="J35" s="4">
        <v>17773.7</v>
      </c>
      <c r="K35" s="5">
        <v>0</v>
      </c>
      <c r="L35" s="4">
        <v>0</v>
      </c>
      <c r="M35" s="4">
        <v>0</v>
      </c>
      <c r="N35" s="4">
        <v>0</v>
      </c>
    </row>
    <row r="36" spans="1:14" x14ac:dyDescent="0.3">
      <c r="A36" s="1" t="s">
        <v>221</v>
      </c>
      <c r="B36" s="1" t="s">
        <v>654</v>
      </c>
      <c r="C36" s="4">
        <v>70130.17</v>
      </c>
      <c r="D36" s="4">
        <v>32368.04</v>
      </c>
      <c r="E36" s="4">
        <v>18105.88</v>
      </c>
      <c r="F36" s="4">
        <v>18105.88</v>
      </c>
      <c r="G36" s="4">
        <v>70130.17</v>
      </c>
      <c r="H36" s="4">
        <v>0</v>
      </c>
      <c r="I36" s="4">
        <v>52024.29</v>
      </c>
      <c r="J36" s="4">
        <v>52024.29</v>
      </c>
      <c r="K36" s="5">
        <v>0.25817499999999999</v>
      </c>
      <c r="L36" s="4">
        <v>0</v>
      </c>
      <c r="M36" s="4">
        <v>0</v>
      </c>
      <c r="N36" s="4">
        <v>0</v>
      </c>
    </row>
    <row r="37" spans="1:14" x14ac:dyDescent="0.3">
      <c r="A37" s="1" t="s">
        <v>655</v>
      </c>
      <c r="B37" s="1" t="s">
        <v>656</v>
      </c>
      <c r="C37" s="4">
        <v>0</v>
      </c>
      <c r="D37" s="4">
        <v>0</v>
      </c>
      <c r="E37" s="4">
        <v>319.60000000000002</v>
      </c>
      <c r="F37" s="4">
        <v>319.60000000000002</v>
      </c>
      <c r="G37" s="4">
        <v>0</v>
      </c>
      <c r="H37" s="4">
        <v>0</v>
      </c>
      <c r="I37" s="4">
        <v>-319.60000000000002</v>
      </c>
      <c r="J37" s="4">
        <v>-319.60000000000002</v>
      </c>
      <c r="K37" s="5">
        <v>0</v>
      </c>
      <c r="L37" s="4">
        <v>0</v>
      </c>
      <c r="M37" s="4">
        <v>0</v>
      </c>
      <c r="N37" s="4">
        <v>0</v>
      </c>
    </row>
    <row r="38" spans="1:14" x14ac:dyDescent="0.3">
      <c r="A38" s="1" t="s">
        <v>657</v>
      </c>
      <c r="B38" s="1" t="s">
        <v>658</v>
      </c>
      <c r="C38" s="4">
        <v>0</v>
      </c>
      <c r="D38" s="4">
        <v>0</v>
      </c>
      <c r="E38" s="4">
        <v>5776.09</v>
      </c>
      <c r="F38" s="4">
        <v>5776.09</v>
      </c>
      <c r="G38" s="4">
        <v>0</v>
      </c>
      <c r="H38" s="4">
        <v>0</v>
      </c>
      <c r="I38" s="4">
        <v>-5776.09</v>
      </c>
      <c r="J38" s="4">
        <v>-5776.09</v>
      </c>
      <c r="K38" s="5">
        <v>0</v>
      </c>
      <c r="L38" s="4">
        <v>0</v>
      </c>
      <c r="M38" s="4">
        <v>0</v>
      </c>
      <c r="N38" s="4">
        <v>0</v>
      </c>
    </row>
    <row r="39" spans="1:14" x14ac:dyDescent="0.3">
      <c r="A39" s="1" t="s">
        <v>235</v>
      </c>
      <c r="B39" s="1" t="s">
        <v>659</v>
      </c>
      <c r="C39" s="4">
        <v>11289.145383999999</v>
      </c>
      <c r="D39" s="4">
        <v>0</v>
      </c>
      <c r="E39" s="4">
        <v>0</v>
      </c>
      <c r="F39" s="4">
        <v>0</v>
      </c>
      <c r="G39" s="4">
        <v>11289.145383999999</v>
      </c>
      <c r="H39" s="4">
        <v>0</v>
      </c>
      <c r="I39" s="4">
        <v>11289.145383999999</v>
      </c>
      <c r="J39" s="4">
        <v>11289.145383999999</v>
      </c>
      <c r="K39" s="5">
        <v>0</v>
      </c>
      <c r="L39" s="4">
        <v>0</v>
      </c>
      <c r="M39" s="4">
        <v>0</v>
      </c>
      <c r="N39" s="4">
        <v>0</v>
      </c>
    </row>
    <row r="40" spans="1:14" x14ac:dyDescent="0.3">
      <c r="A40" s="1" t="s">
        <v>660</v>
      </c>
      <c r="B40" s="1" t="s">
        <v>661</v>
      </c>
      <c r="C40" s="4">
        <v>0</v>
      </c>
      <c r="D40" s="4">
        <v>0</v>
      </c>
      <c r="E40" s="4">
        <v>13200</v>
      </c>
      <c r="F40" s="4">
        <v>13200</v>
      </c>
      <c r="G40" s="4">
        <v>0</v>
      </c>
      <c r="H40" s="4">
        <v>0</v>
      </c>
      <c r="I40" s="4">
        <v>-13200</v>
      </c>
      <c r="J40" s="4">
        <v>-13200</v>
      </c>
      <c r="K40" s="5">
        <v>0</v>
      </c>
      <c r="L40" s="4">
        <v>0</v>
      </c>
      <c r="M40" s="4">
        <v>0</v>
      </c>
      <c r="N40" s="4">
        <v>0</v>
      </c>
    </row>
    <row r="41" spans="1:14" x14ac:dyDescent="0.3">
      <c r="A41" s="1" t="s">
        <v>238</v>
      </c>
      <c r="B41" s="1" t="s">
        <v>662</v>
      </c>
      <c r="C41" s="4">
        <v>11945.540297</v>
      </c>
      <c r="D41" s="4">
        <v>0</v>
      </c>
      <c r="E41" s="4">
        <v>88.92</v>
      </c>
      <c r="F41" s="4">
        <v>88.92</v>
      </c>
      <c r="G41" s="4">
        <v>11945.540297</v>
      </c>
      <c r="H41" s="4">
        <v>0</v>
      </c>
      <c r="I41" s="4">
        <v>11856.620296999999</v>
      </c>
      <c r="J41" s="4">
        <v>11856.620296999999</v>
      </c>
      <c r="K41" s="5">
        <v>7.443E-3</v>
      </c>
      <c r="L41" s="4">
        <v>0</v>
      </c>
      <c r="M41" s="4">
        <v>0</v>
      </c>
      <c r="N41" s="4">
        <v>0</v>
      </c>
    </row>
    <row r="42" spans="1:14" x14ac:dyDescent="0.3">
      <c r="A42" s="1" t="s">
        <v>242</v>
      </c>
      <c r="B42" s="1" t="s">
        <v>663</v>
      </c>
      <c r="C42" s="4">
        <v>125893.215039</v>
      </c>
      <c r="D42" s="4">
        <v>115000</v>
      </c>
      <c r="E42" s="4">
        <v>41882.35</v>
      </c>
      <c r="F42" s="4">
        <v>43762.7</v>
      </c>
      <c r="G42" s="4">
        <v>125893.215086</v>
      </c>
      <c r="H42" s="4">
        <v>-4.6999999999999997E-5</v>
      </c>
      <c r="I42" s="4">
        <v>84010.865038999997</v>
      </c>
      <c r="J42" s="4">
        <v>84010.865086000005</v>
      </c>
      <c r="K42" s="5">
        <v>0.332681</v>
      </c>
      <c r="L42" s="4">
        <v>0</v>
      </c>
      <c r="M42" s="4">
        <v>0</v>
      </c>
      <c r="N42" s="4">
        <v>0</v>
      </c>
    </row>
    <row r="43" spans="1:14" x14ac:dyDescent="0.3">
      <c r="A43" s="1" t="s">
        <v>249</v>
      </c>
      <c r="B43" s="1" t="s">
        <v>664</v>
      </c>
      <c r="C43" s="4">
        <v>4430.3691680000002</v>
      </c>
      <c r="D43" s="4">
        <v>0</v>
      </c>
      <c r="E43" s="4">
        <v>0</v>
      </c>
      <c r="F43" s="4">
        <v>0</v>
      </c>
      <c r="G43" s="4">
        <v>4430.3691680000002</v>
      </c>
      <c r="H43" s="4">
        <v>0</v>
      </c>
      <c r="I43" s="4">
        <v>4430.3691680000002</v>
      </c>
      <c r="J43" s="4">
        <v>4430.3691680000002</v>
      </c>
      <c r="K43" s="5">
        <v>0</v>
      </c>
      <c r="L43" s="4">
        <v>0</v>
      </c>
      <c r="M43" s="4">
        <v>0</v>
      </c>
      <c r="N43" s="4">
        <v>0</v>
      </c>
    </row>
    <row r="44" spans="1:14" x14ac:dyDescent="0.3">
      <c r="A44" s="1" t="s">
        <v>255</v>
      </c>
      <c r="B44" s="1" t="s">
        <v>665</v>
      </c>
      <c r="C44" s="4">
        <v>34736.162766000001</v>
      </c>
      <c r="D44" s="4">
        <v>0</v>
      </c>
      <c r="E44" s="4">
        <v>86.19</v>
      </c>
      <c r="F44" s="4">
        <v>86.19</v>
      </c>
      <c r="G44" s="4">
        <v>34736.163569999997</v>
      </c>
      <c r="H44" s="4">
        <v>-8.0400000000000003E-4</v>
      </c>
      <c r="I44" s="4">
        <v>34649.972765999999</v>
      </c>
      <c r="J44" s="4">
        <v>34649.973570000002</v>
      </c>
      <c r="K44" s="5">
        <v>2.4810000000000001E-3</v>
      </c>
      <c r="L44" s="4">
        <v>0</v>
      </c>
      <c r="M44" s="4">
        <v>0</v>
      </c>
      <c r="N44" s="4">
        <v>0</v>
      </c>
    </row>
    <row r="45" spans="1:14" x14ac:dyDescent="0.3">
      <c r="A45" s="1" t="s">
        <v>279</v>
      </c>
      <c r="B45" s="1" t="s">
        <v>280</v>
      </c>
      <c r="C45" s="4">
        <v>9918.9</v>
      </c>
      <c r="D45" s="4">
        <v>0</v>
      </c>
      <c r="E45" s="4">
        <v>0</v>
      </c>
      <c r="F45" s="4">
        <v>0</v>
      </c>
      <c r="G45" s="4">
        <v>9918.9</v>
      </c>
      <c r="H45" s="4">
        <v>0</v>
      </c>
      <c r="I45" s="4">
        <v>9918.9</v>
      </c>
      <c r="J45" s="4">
        <v>9918.9</v>
      </c>
      <c r="K45" s="5">
        <v>0</v>
      </c>
      <c r="L45" s="4">
        <v>0</v>
      </c>
      <c r="M45" s="4">
        <v>0</v>
      </c>
      <c r="N45" s="4">
        <v>0</v>
      </c>
    </row>
    <row r="46" spans="1:14" x14ac:dyDescent="0.3">
      <c r="A46" s="1" t="s">
        <v>281</v>
      </c>
      <c r="B46" s="1" t="s">
        <v>666</v>
      </c>
      <c r="C46" s="4">
        <v>8161.8526760000004</v>
      </c>
      <c r="D46" s="4">
        <v>0</v>
      </c>
      <c r="E46" s="4">
        <v>0</v>
      </c>
      <c r="F46" s="4">
        <v>0</v>
      </c>
      <c r="G46" s="4">
        <v>8161.8526760000004</v>
      </c>
      <c r="H46" s="4">
        <v>0</v>
      </c>
      <c r="I46" s="4">
        <v>8161.8526760000004</v>
      </c>
      <c r="J46" s="4">
        <v>8161.8526760000004</v>
      </c>
      <c r="K46" s="5">
        <v>0</v>
      </c>
      <c r="L46" s="4">
        <v>0</v>
      </c>
      <c r="M46" s="4">
        <v>0</v>
      </c>
      <c r="N46" s="4">
        <v>0</v>
      </c>
    </row>
    <row r="47" spans="1:14" x14ac:dyDescent="0.3">
      <c r="A47" s="1" t="s">
        <v>283</v>
      </c>
      <c r="B47" s="1" t="s">
        <v>667</v>
      </c>
      <c r="C47" s="4">
        <v>97453.500008000003</v>
      </c>
      <c r="D47" s="4">
        <v>0</v>
      </c>
      <c r="E47" s="4">
        <v>16020.68</v>
      </c>
      <c r="F47" s="4">
        <v>38691.21</v>
      </c>
      <c r="G47" s="4">
        <v>97453.5</v>
      </c>
      <c r="H47" s="4">
        <v>7.9999999999999996E-6</v>
      </c>
      <c r="I47" s="4">
        <v>81432.820007999995</v>
      </c>
      <c r="J47" s="4">
        <v>81432.820000000007</v>
      </c>
      <c r="K47" s="5">
        <v>0.16439300000000001</v>
      </c>
      <c r="L47" s="4">
        <v>0</v>
      </c>
      <c r="M47" s="4">
        <v>0</v>
      </c>
      <c r="N47" s="4">
        <v>0</v>
      </c>
    </row>
    <row r="48" spans="1:14" x14ac:dyDescent="0.3">
      <c r="A48" s="1" t="s">
        <v>295</v>
      </c>
      <c r="B48" s="1" t="s">
        <v>668</v>
      </c>
      <c r="C48" s="4">
        <v>2450</v>
      </c>
      <c r="D48" s="4">
        <v>0</v>
      </c>
      <c r="E48" s="4">
        <v>0</v>
      </c>
      <c r="F48" s="4">
        <v>0</v>
      </c>
      <c r="G48" s="4">
        <v>2450</v>
      </c>
      <c r="H48" s="4">
        <v>0</v>
      </c>
      <c r="I48" s="4">
        <v>2450</v>
      </c>
      <c r="J48" s="4">
        <v>2450</v>
      </c>
      <c r="K48" s="5">
        <v>0</v>
      </c>
      <c r="L48" s="4">
        <v>0</v>
      </c>
      <c r="M48" s="4">
        <v>0</v>
      </c>
      <c r="N48" s="4">
        <v>0</v>
      </c>
    </row>
    <row r="49" spans="1:14" x14ac:dyDescent="0.3">
      <c r="A49" s="1" t="s">
        <v>298</v>
      </c>
      <c r="B49" s="1" t="s">
        <v>669</v>
      </c>
      <c r="C49" s="4">
        <v>55424.52</v>
      </c>
      <c r="D49" s="4">
        <v>0</v>
      </c>
      <c r="E49" s="4">
        <v>0</v>
      </c>
      <c r="F49" s="4">
        <v>0</v>
      </c>
      <c r="G49" s="4">
        <v>55424.52</v>
      </c>
      <c r="H49" s="4">
        <v>0</v>
      </c>
      <c r="I49" s="4">
        <v>55424.52</v>
      </c>
      <c r="J49" s="4">
        <v>55424.52</v>
      </c>
      <c r="K49" s="5">
        <v>0</v>
      </c>
      <c r="L49" s="4">
        <v>0</v>
      </c>
      <c r="M49" s="4">
        <v>0</v>
      </c>
      <c r="N49" s="4">
        <v>0</v>
      </c>
    </row>
    <row r="50" spans="1:14" x14ac:dyDescent="0.3">
      <c r="A50" s="1" t="s">
        <v>311</v>
      </c>
      <c r="B50" s="1" t="s">
        <v>670</v>
      </c>
      <c r="C50" s="4">
        <v>26553.227453</v>
      </c>
      <c r="D50" s="4">
        <v>0</v>
      </c>
      <c r="E50" s="4">
        <v>0</v>
      </c>
      <c r="F50" s="4">
        <v>0</v>
      </c>
      <c r="G50" s="4">
        <v>26553.227453</v>
      </c>
      <c r="H50" s="4">
        <v>0</v>
      </c>
      <c r="I50" s="4">
        <v>26553.227453</v>
      </c>
      <c r="J50" s="4">
        <v>26553.227453</v>
      </c>
      <c r="K50" s="5">
        <v>0</v>
      </c>
      <c r="L50" s="4">
        <v>0</v>
      </c>
      <c r="M50" s="4">
        <v>0</v>
      </c>
      <c r="N50" s="4">
        <v>0</v>
      </c>
    </row>
    <row r="51" spans="1:14" x14ac:dyDescent="0.3">
      <c r="A51" s="1" t="s">
        <v>329</v>
      </c>
      <c r="B51" s="1" t="s">
        <v>671</v>
      </c>
      <c r="C51" s="4">
        <v>34000</v>
      </c>
      <c r="D51" s="4">
        <v>0</v>
      </c>
      <c r="E51" s="4">
        <v>0</v>
      </c>
      <c r="F51" s="4">
        <v>0</v>
      </c>
      <c r="G51" s="4">
        <v>34000</v>
      </c>
      <c r="H51" s="4">
        <v>0</v>
      </c>
      <c r="I51" s="4">
        <v>34000</v>
      </c>
      <c r="J51" s="4">
        <v>34000</v>
      </c>
      <c r="K51" s="5">
        <v>0</v>
      </c>
      <c r="L51" s="4">
        <v>0</v>
      </c>
      <c r="M51" s="4">
        <v>0</v>
      </c>
      <c r="N51" s="4">
        <v>0</v>
      </c>
    </row>
    <row r="52" spans="1:14" x14ac:dyDescent="0.3">
      <c r="A52" s="1" t="s">
        <v>332</v>
      </c>
      <c r="B52" s="1" t="s">
        <v>672</v>
      </c>
      <c r="C52" s="4">
        <v>53798.351603000003</v>
      </c>
      <c r="D52" s="4">
        <v>0</v>
      </c>
      <c r="E52" s="4">
        <v>0</v>
      </c>
      <c r="F52" s="4">
        <v>0</v>
      </c>
      <c r="G52" s="4">
        <v>53798.351603000003</v>
      </c>
      <c r="H52" s="4">
        <v>0</v>
      </c>
      <c r="I52" s="4">
        <v>53798.351603000003</v>
      </c>
      <c r="J52" s="4">
        <v>53798.351603000003</v>
      </c>
      <c r="K52" s="5">
        <v>0</v>
      </c>
      <c r="L52" s="4">
        <v>0</v>
      </c>
      <c r="M52" s="4">
        <v>0</v>
      </c>
      <c r="N52" s="4">
        <v>0</v>
      </c>
    </row>
    <row r="53" spans="1:14" x14ac:dyDescent="0.3">
      <c r="A53" s="1" t="s">
        <v>340</v>
      </c>
      <c r="B53" s="1" t="s">
        <v>673</v>
      </c>
      <c r="C53" s="4">
        <v>23074.708772000002</v>
      </c>
      <c r="D53" s="4">
        <v>0</v>
      </c>
      <c r="E53" s="4">
        <v>0</v>
      </c>
      <c r="F53" s="4">
        <v>0</v>
      </c>
      <c r="G53" s="4">
        <v>23074.708772000002</v>
      </c>
      <c r="H53" s="4">
        <v>0</v>
      </c>
      <c r="I53" s="4">
        <v>23074.708772000002</v>
      </c>
      <c r="J53" s="4">
        <v>23074.708772000002</v>
      </c>
      <c r="K53" s="5">
        <v>0</v>
      </c>
      <c r="L53" s="4">
        <v>0</v>
      </c>
      <c r="M53" s="4">
        <v>0</v>
      </c>
      <c r="N53" s="4">
        <v>0</v>
      </c>
    </row>
    <row r="54" spans="1:14" x14ac:dyDescent="0.3">
      <c r="A54" s="1" t="s">
        <v>348</v>
      </c>
      <c r="B54" s="1" t="s">
        <v>674</v>
      </c>
      <c r="C54" s="4">
        <v>11079.710209999999</v>
      </c>
      <c r="D54" s="4">
        <v>0</v>
      </c>
      <c r="E54" s="4">
        <v>0</v>
      </c>
      <c r="F54" s="4">
        <v>0</v>
      </c>
      <c r="G54" s="4">
        <v>11079.710209999999</v>
      </c>
      <c r="H54" s="4">
        <v>0</v>
      </c>
      <c r="I54" s="4">
        <v>11079.710209999999</v>
      </c>
      <c r="J54" s="4">
        <v>11079.710209999999</v>
      </c>
      <c r="K54" s="5">
        <v>0</v>
      </c>
      <c r="L54" s="4">
        <v>0</v>
      </c>
      <c r="M54" s="4">
        <v>0</v>
      </c>
      <c r="N54" s="4">
        <v>0</v>
      </c>
    </row>
    <row r="55" spans="1:14" x14ac:dyDescent="0.3">
      <c r="A55" s="1" t="s">
        <v>351</v>
      </c>
      <c r="B55" s="1" t="s">
        <v>675</v>
      </c>
      <c r="C55" s="4">
        <v>6324.6260730000004</v>
      </c>
      <c r="D55" s="4">
        <v>0</v>
      </c>
      <c r="E55" s="4">
        <v>0</v>
      </c>
      <c r="F55" s="4">
        <v>0</v>
      </c>
      <c r="G55" s="4">
        <v>6324.6260730000004</v>
      </c>
      <c r="H55" s="4">
        <v>0</v>
      </c>
      <c r="I55" s="4">
        <v>6324.6260730000004</v>
      </c>
      <c r="J55" s="4">
        <v>6324.6260730000004</v>
      </c>
      <c r="K55" s="5">
        <v>0</v>
      </c>
      <c r="L55" s="4">
        <v>0</v>
      </c>
      <c r="M55" s="4">
        <v>0</v>
      </c>
      <c r="N55" s="4">
        <v>0</v>
      </c>
    </row>
    <row r="56" spans="1:14" x14ac:dyDescent="0.3">
      <c r="A56" s="1" t="s">
        <v>353</v>
      </c>
      <c r="B56" s="1" t="s">
        <v>676</v>
      </c>
      <c r="C56" s="4">
        <v>11500</v>
      </c>
      <c r="D56" s="4">
        <v>0</v>
      </c>
      <c r="E56" s="4">
        <v>0</v>
      </c>
      <c r="F56" s="4">
        <v>0</v>
      </c>
      <c r="G56" s="4">
        <v>11500</v>
      </c>
      <c r="H56" s="4">
        <v>0</v>
      </c>
      <c r="I56" s="4">
        <v>11500</v>
      </c>
      <c r="J56" s="4">
        <v>11500</v>
      </c>
      <c r="K56" s="5">
        <v>0</v>
      </c>
      <c r="L56" s="4">
        <v>0</v>
      </c>
      <c r="M56" s="4">
        <v>0</v>
      </c>
      <c r="N56" s="4">
        <v>0</v>
      </c>
    </row>
    <row r="57" spans="1:14" x14ac:dyDescent="0.3">
      <c r="A57" s="1" t="s">
        <v>355</v>
      </c>
      <c r="B57" s="1" t="s">
        <v>677</v>
      </c>
      <c r="C57" s="4">
        <v>129486.018819</v>
      </c>
      <c r="D57" s="4">
        <v>0</v>
      </c>
      <c r="E57" s="4">
        <v>0</v>
      </c>
      <c r="F57" s="4">
        <v>0</v>
      </c>
      <c r="G57" s="4">
        <v>129486.018819</v>
      </c>
      <c r="H57" s="4">
        <v>0</v>
      </c>
      <c r="I57" s="4">
        <v>129486.018819</v>
      </c>
      <c r="J57" s="4">
        <v>129486.018819</v>
      </c>
      <c r="K57" s="5">
        <v>0</v>
      </c>
      <c r="L57" s="4">
        <v>0</v>
      </c>
      <c r="M57" s="4">
        <v>0</v>
      </c>
      <c r="N57" s="4">
        <v>0</v>
      </c>
    </row>
    <row r="58" spans="1:14" x14ac:dyDescent="0.3">
      <c r="A58" s="1" t="s">
        <v>365</v>
      </c>
      <c r="B58" s="1" t="s">
        <v>678</v>
      </c>
      <c r="C58" s="4">
        <v>4800</v>
      </c>
      <c r="D58" s="4">
        <v>0</v>
      </c>
      <c r="E58" s="4">
        <v>0</v>
      </c>
      <c r="F58" s="4">
        <v>0</v>
      </c>
      <c r="G58" s="4">
        <v>4800</v>
      </c>
      <c r="H58" s="4">
        <v>0</v>
      </c>
      <c r="I58" s="4">
        <v>4800</v>
      </c>
      <c r="J58" s="4">
        <v>4800</v>
      </c>
      <c r="K58" s="5">
        <v>0</v>
      </c>
      <c r="L58" s="4">
        <v>0</v>
      </c>
      <c r="M58" s="4">
        <v>0</v>
      </c>
      <c r="N58" s="4">
        <v>0</v>
      </c>
    </row>
    <row r="59" spans="1:14" x14ac:dyDescent="0.3">
      <c r="A59" s="1" t="s">
        <v>367</v>
      </c>
      <c r="B59" s="1" t="s">
        <v>679</v>
      </c>
      <c r="C59" s="4">
        <v>27091.181696</v>
      </c>
      <c r="D59" s="4">
        <v>0</v>
      </c>
      <c r="E59" s="4">
        <v>0</v>
      </c>
      <c r="F59" s="4">
        <v>0</v>
      </c>
      <c r="G59" s="4">
        <v>27091.181696</v>
      </c>
      <c r="H59" s="4">
        <v>0</v>
      </c>
      <c r="I59" s="4">
        <v>27091.181696</v>
      </c>
      <c r="J59" s="4">
        <v>27091.181696</v>
      </c>
      <c r="K59" s="5">
        <v>0</v>
      </c>
      <c r="L59" s="4">
        <v>0</v>
      </c>
      <c r="M59" s="4">
        <v>0</v>
      </c>
      <c r="N59" s="4">
        <v>0</v>
      </c>
    </row>
    <row r="60" spans="1:14" x14ac:dyDescent="0.3">
      <c r="A60" s="1" t="s">
        <v>375</v>
      </c>
      <c r="B60" s="1" t="s">
        <v>680</v>
      </c>
      <c r="C60" s="4">
        <v>83478.500843000002</v>
      </c>
      <c r="D60" s="4">
        <v>0</v>
      </c>
      <c r="E60" s="4">
        <v>0</v>
      </c>
      <c r="F60" s="4">
        <v>0</v>
      </c>
      <c r="G60" s="4">
        <v>83478.500683000006</v>
      </c>
      <c r="H60" s="4">
        <v>1.6000000000000001E-4</v>
      </c>
      <c r="I60" s="4">
        <v>83478.500843000002</v>
      </c>
      <c r="J60" s="4">
        <v>83478.500683000006</v>
      </c>
      <c r="K60" s="5">
        <v>0</v>
      </c>
      <c r="L60" s="4">
        <v>0</v>
      </c>
      <c r="M60" s="4">
        <v>0</v>
      </c>
      <c r="N60" s="4">
        <v>0</v>
      </c>
    </row>
    <row r="61" spans="1:14" x14ac:dyDescent="0.3">
      <c r="A61" s="1" t="s">
        <v>385</v>
      </c>
      <c r="B61" s="1" t="s">
        <v>681</v>
      </c>
      <c r="C61" s="4">
        <v>3855.6366849999999</v>
      </c>
      <c r="D61" s="4">
        <v>0</v>
      </c>
      <c r="E61" s="4">
        <v>0</v>
      </c>
      <c r="F61" s="4">
        <v>0</v>
      </c>
      <c r="G61" s="4">
        <v>3855.6366849999999</v>
      </c>
      <c r="H61" s="4">
        <v>0</v>
      </c>
      <c r="I61" s="4">
        <v>3855.6366849999999</v>
      </c>
      <c r="J61" s="4">
        <v>3855.6366849999999</v>
      </c>
      <c r="K61" s="5">
        <v>0</v>
      </c>
      <c r="L61" s="4">
        <v>0</v>
      </c>
      <c r="M61" s="4">
        <v>0</v>
      </c>
      <c r="N61" s="4">
        <v>0</v>
      </c>
    </row>
    <row r="62" spans="1:14" x14ac:dyDescent="0.3">
      <c r="A62" s="1" t="s">
        <v>387</v>
      </c>
      <c r="B62" s="1" t="s">
        <v>682</v>
      </c>
      <c r="C62" s="4">
        <v>25267.718195000001</v>
      </c>
      <c r="D62" s="4">
        <v>0</v>
      </c>
      <c r="E62" s="4">
        <v>0</v>
      </c>
      <c r="F62" s="4">
        <v>0</v>
      </c>
      <c r="G62" s="4">
        <v>25267.718195000001</v>
      </c>
      <c r="H62" s="4">
        <v>0</v>
      </c>
      <c r="I62" s="4">
        <v>25267.718195000001</v>
      </c>
      <c r="J62" s="4">
        <v>25267.718195000001</v>
      </c>
      <c r="K62" s="5">
        <v>0</v>
      </c>
      <c r="L62" s="4">
        <v>0</v>
      </c>
      <c r="M62" s="4">
        <v>0</v>
      </c>
      <c r="N62" s="4">
        <v>0</v>
      </c>
    </row>
    <row r="63" spans="1:14" x14ac:dyDescent="0.3">
      <c r="A63" s="1" t="s">
        <v>397</v>
      </c>
      <c r="B63" s="1" t="s">
        <v>683</v>
      </c>
      <c r="C63" s="4">
        <v>6426.6489099999999</v>
      </c>
      <c r="D63" s="4">
        <v>0</v>
      </c>
      <c r="E63" s="4">
        <v>0</v>
      </c>
      <c r="F63" s="4">
        <v>0</v>
      </c>
      <c r="G63" s="4">
        <v>6426.6489099999999</v>
      </c>
      <c r="H63" s="4">
        <v>0</v>
      </c>
      <c r="I63" s="4">
        <v>6426.6489099999999</v>
      </c>
      <c r="J63" s="4">
        <v>6426.6489099999999</v>
      </c>
      <c r="K63" s="5">
        <v>0</v>
      </c>
      <c r="L63" s="4">
        <v>0</v>
      </c>
      <c r="M63" s="4">
        <v>0</v>
      </c>
      <c r="N63" s="4">
        <v>0</v>
      </c>
    </row>
    <row r="64" spans="1:14" x14ac:dyDescent="0.3">
      <c r="A64" s="1" t="s">
        <v>400</v>
      </c>
      <c r="B64" s="1" t="s">
        <v>684</v>
      </c>
      <c r="C64" s="4">
        <v>20120.789826</v>
      </c>
      <c r="D64" s="4">
        <v>0</v>
      </c>
      <c r="E64" s="4">
        <v>0</v>
      </c>
      <c r="F64" s="4">
        <v>0</v>
      </c>
      <c r="G64" s="4">
        <v>20120.789826</v>
      </c>
      <c r="H64" s="4">
        <v>0</v>
      </c>
      <c r="I64" s="4">
        <v>20120.789826</v>
      </c>
      <c r="J64" s="4">
        <v>20120.789826</v>
      </c>
      <c r="K64" s="5">
        <v>0</v>
      </c>
      <c r="L64" s="4">
        <v>0</v>
      </c>
      <c r="M64" s="4">
        <v>0</v>
      </c>
      <c r="N64" s="4">
        <v>0</v>
      </c>
    </row>
    <row r="65" spans="1:14" x14ac:dyDescent="0.3">
      <c r="A65" s="1" t="s">
        <v>410</v>
      </c>
      <c r="B65" s="1" t="s">
        <v>685</v>
      </c>
      <c r="C65" s="4">
        <v>26462.82186</v>
      </c>
      <c r="D65" s="4">
        <v>0</v>
      </c>
      <c r="E65" s="4">
        <v>0</v>
      </c>
      <c r="F65" s="4">
        <v>0</v>
      </c>
      <c r="G65" s="4">
        <v>26462.82186</v>
      </c>
      <c r="H65" s="4">
        <v>0</v>
      </c>
      <c r="I65" s="4">
        <v>26462.82186</v>
      </c>
      <c r="J65" s="4">
        <v>26462.82186</v>
      </c>
      <c r="K65" s="5">
        <v>0</v>
      </c>
      <c r="L65" s="4">
        <v>0</v>
      </c>
      <c r="M65" s="4">
        <v>0</v>
      </c>
      <c r="N65" s="4">
        <v>0</v>
      </c>
    </row>
    <row r="66" spans="1:14" x14ac:dyDescent="0.3">
      <c r="A66" s="1" t="s">
        <v>414</v>
      </c>
      <c r="B66" s="1" t="s">
        <v>686</v>
      </c>
      <c r="C66" s="4">
        <v>92500</v>
      </c>
      <c r="D66" s="4">
        <v>0</v>
      </c>
      <c r="E66" s="4">
        <v>0</v>
      </c>
      <c r="F66" s="4">
        <v>0</v>
      </c>
      <c r="G66" s="4">
        <v>92500</v>
      </c>
      <c r="H66" s="4">
        <v>0</v>
      </c>
      <c r="I66" s="4">
        <v>92500</v>
      </c>
      <c r="J66" s="4">
        <v>92500</v>
      </c>
      <c r="K66" s="5">
        <v>0</v>
      </c>
      <c r="L66" s="4">
        <v>0</v>
      </c>
      <c r="M66" s="4">
        <v>0</v>
      </c>
      <c r="N66" s="4">
        <v>0</v>
      </c>
    </row>
    <row r="67" spans="1:14" x14ac:dyDescent="0.3">
      <c r="A67" s="1" t="s">
        <v>416</v>
      </c>
      <c r="B67" s="1" t="s">
        <v>687</v>
      </c>
      <c r="C67" s="4">
        <v>64396.727964999998</v>
      </c>
      <c r="D67" s="4">
        <v>0</v>
      </c>
      <c r="E67" s="4">
        <v>0</v>
      </c>
      <c r="F67" s="4">
        <v>0</v>
      </c>
      <c r="G67" s="4">
        <v>64396.727983999997</v>
      </c>
      <c r="H67" s="4">
        <v>-1.9000000000000001E-5</v>
      </c>
      <c r="I67" s="4">
        <v>64396.727964999998</v>
      </c>
      <c r="J67" s="4">
        <v>64396.727983999997</v>
      </c>
      <c r="K67" s="5">
        <v>0</v>
      </c>
      <c r="L67" s="4">
        <v>0</v>
      </c>
      <c r="M67" s="4">
        <v>0</v>
      </c>
      <c r="N67" s="4">
        <v>0</v>
      </c>
    </row>
    <row r="68" spans="1:14" x14ac:dyDescent="0.3">
      <c r="A68" s="1" t="s">
        <v>425</v>
      </c>
      <c r="B68" s="1" t="s">
        <v>688</v>
      </c>
      <c r="C68" s="4">
        <v>1639.575</v>
      </c>
      <c r="D68" s="4">
        <v>0</v>
      </c>
      <c r="E68" s="4">
        <v>0</v>
      </c>
      <c r="F68" s="4">
        <v>0</v>
      </c>
      <c r="G68" s="4">
        <v>1639.575</v>
      </c>
      <c r="H68" s="4">
        <v>0</v>
      </c>
      <c r="I68" s="4">
        <v>1639.575</v>
      </c>
      <c r="J68" s="4">
        <v>1639.575</v>
      </c>
      <c r="K68" s="5">
        <v>0</v>
      </c>
      <c r="L68" s="4">
        <v>0</v>
      </c>
      <c r="M68" s="4">
        <v>0</v>
      </c>
      <c r="N68" s="4">
        <v>0</v>
      </c>
    </row>
    <row r="69" spans="1:14" x14ac:dyDescent="0.3">
      <c r="A69" s="1" t="s">
        <v>429</v>
      </c>
      <c r="B69" s="1" t="s">
        <v>689</v>
      </c>
      <c r="C69" s="4">
        <v>28788.218774000001</v>
      </c>
      <c r="D69" s="4">
        <v>0</v>
      </c>
      <c r="E69" s="4">
        <v>0</v>
      </c>
      <c r="F69" s="4">
        <v>0</v>
      </c>
      <c r="G69" s="4">
        <v>28788.219499999999</v>
      </c>
      <c r="H69" s="4">
        <v>-7.2599999999999997E-4</v>
      </c>
      <c r="I69" s="4">
        <v>28788.218774000001</v>
      </c>
      <c r="J69" s="4">
        <v>28788.219499999999</v>
      </c>
      <c r="K69" s="5">
        <v>0</v>
      </c>
      <c r="L69" s="4">
        <v>0</v>
      </c>
      <c r="M69" s="4">
        <v>0</v>
      </c>
      <c r="N69" s="4">
        <v>0</v>
      </c>
    </row>
    <row r="70" spans="1:14" x14ac:dyDescent="0.3">
      <c r="A70" s="1" t="s">
        <v>437</v>
      </c>
      <c r="B70" s="1" t="s">
        <v>690</v>
      </c>
      <c r="C70" s="4">
        <v>26882.794172000002</v>
      </c>
      <c r="D70" s="4">
        <v>0</v>
      </c>
      <c r="E70" s="4">
        <v>0</v>
      </c>
      <c r="F70" s="4">
        <v>0</v>
      </c>
      <c r="G70" s="4">
        <v>26882.794172000002</v>
      </c>
      <c r="H70" s="4">
        <v>0</v>
      </c>
      <c r="I70" s="4">
        <v>26882.794172000002</v>
      </c>
      <c r="J70" s="4">
        <v>26882.794172000002</v>
      </c>
      <c r="K70" s="5">
        <v>0</v>
      </c>
      <c r="L70" s="4">
        <v>0</v>
      </c>
      <c r="M70" s="4">
        <v>0</v>
      </c>
      <c r="N70" s="4">
        <v>0</v>
      </c>
    </row>
    <row r="71" spans="1:14" x14ac:dyDescent="0.3">
      <c r="A71" s="1" t="s">
        <v>442</v>
      </c>
      <c r="B71" s="1" t="s">
        <v>691</v>
      </c>
      <c r="C71" s="4">
        <v>51877.402477000003</v>
      </c>
      <c r="D71" s="4">
        <v>0</v>
      </c>
      <c r="E71" s="4">
        <v>0</v>
      </c>
      <c r="F71" s="4">
        <v>0</v>
      </c>
      <c r="G71" s="4">
        <v>51877.402477000003</v>
      </c>
      <c r="H71" s="4">
        <v>0</v>
      </c>
      <c r="I71" s="4">
        <v>51877.402477000003</v>
      </c>
      <c r="J71" s="4">
        <v>51877.402477000003</v>
      </c>
      <c r="K71" s="5">
        <v>0</v>
      </c>
      <c r="L71" s="4">
        <v>0</v>
      </c>
      <c r="M71" s="4">
        <v>0</v>
      </c>
      <c r="N71" s="4">
        <v>0</v>
      </c>
    </row>
    <row r="72" spans="1:14" x14ac:dyDescent="0.3">
      <c r="A72" s="1" t="s">
        <v>448</v>
      </c>
      <c r="B72" s="1" t="s">
        <v>692</v>
      </c>
      <c r="C72" s="4">
        <v>7663.7499930000004</v>
      </c>
      <c r="D72" s="4">
        <v>0</v>
      </c>
      <c r="E72" s="4">
        <v>0</v>
      </c>
      <c r="F72" s="4">
        <v>0</v>
      </c>
      <c r="G72" s="4">
        <v>7663.7499930000004</v>
      </c>
      <c r="H72" s="4">
        <v>0</v>
      </c>
      <c r="I72" s="4">
        <v>7663.7499930000004</v>
      </c>
      <c r="J72" s="4">
        <v>7663.7499930000004</v>
      </c>
      <c r="K72" s="5">
        <v>0</v>
      </c>
      <c r="L72" s="4">
        <v>0</v>
      </c>
      <c r="M72" s="4">
        <v>0</v>
      </c>
      <c r="N72" s="4">
        <v>0</v>
      </c>
    </row>
    <row r="73" spans="1:14" x14ac:dyDescent="0.3">
      <c r="A73" s="1" t="s">
        <v>452</v>
      </c>
      <c r="B73" s="1" t="s">
        <v>693</v>
      </c>
      <c r="C73" s="4">
        <v>22381.369494999999</v>
      </c>
      <c r="D73" s="4">
        <v>0</v>
      </c>
      <c r="E73" s="4">
        <v>0</v>
      </c>
      <c r="F73" s="4">
        <v>0</v>
      </c>
      <c r="G73" s="4">
        <v>22381.369494999999</v>
      </c>
      <c r="H73" s="4">
        <v>0</v>
      </c>
      <c r="I73" s="4">
        <v>22381.369494999999</v>
      </c>
      <c r="J73" s="4">
        <v>22381.369494999999</v>
      </c>
      <c r="K73" s="5">
        <v>0</v>
      </c>
      <c r="L73" s="4">
        <v>0</v>
      </c>
      <c r="M73" s="4">
        <v>0</v>
      </c>
      <c r="N73" s="4">
        <v>0</v>
      </c>
    </row>
    <row r="74" spans="1:14" x14ac:dyDescent="0.3">
      <c r="A74" s="1" t="s">
        <v>456</v>
      </c>
      <c r="B74" s="1" t="s">
        <v>694</v>
      </c>
      <c r="C74" s="4">
        <v>24523.115797999999</v>
      </c>
      <c r="D74" s="4">
        <v>0</v>
      </c>
      <c r="E74" s="4">
        <v>0</v>
      </c>
      <c r="F74" s="4">
        <v>0</v>
      </c>
      <c r="G74" s="4">
        <v>24523.115797999999</v>
      </c>
      <c r="H74" s="4">
        <v>0</v>
      </c>
      <c r="I74" s="4">
        <v>24523.115797999999</v>
      </c>
      <c r="J74" s="4">
        <v>24523.115797999999</v>
      </c>
      <c r="K74" s="5">
        <v>0</v>
      </c>
      <c r="L74" s="4">
        <v>0</v>
      </c>
      <c r="M74" s="4">
        <v>0</v>
      </c>
      <c r="N74" s="4">
        <v>0</v>
      </c>
    </row>
    <row r="75" spans="1:14" x14ac:dyDescent="0.3">
      <c r="A75" s="1" t="s">
        <v>462</v>
      </c>
      <c r="B75" s="1" t="s">
        <v>695</v>
      </c>
      <c r="C75" s="4">
        <v>114238.39999999999</v>
      </c>
      <c r="D75" s="4">
        <v>0</v>
      </c>
      <c r="E75" s="4">
        <v>0</v>
      </c>
      <c r="F75" s="4">
        <v>0</v>
      </c>
      <c r="G75" s="4">
        <v>114238.39999999999</v>
      </c>
      <c r="H75" s="4">
        <v>0</v>
      </c>
      <c r="I75" s="4">
        <v>114238.39999999999</v>
      </c>
      <c r="J75" s="4">
        <v>114238.39999999999</v>
      </c>
      <c r="K75" s="5">
        <v>0</v>
      </c>
      <c r="L75" s="4">
        <v>0</v>
      </c>
      <c r="M75" s="4">
        <v>0</v>
      </c>
      <c r="N75" s="4">
        <v>0</v>
      </c>
    </row>
    <row r="76" spans="1:14" x14ac:dyDescent="0.3">
      <c r="A76" s="1" t="s">
        <v>465</v>
      </c>
      <c r="B76" s="1" t="s">
        <v>696</v>
      </c>
      <c r="C76" s="4">
        <v>156000</v>
      </c>
      <c r="D76" s="4">
        <v>0</v>
      </c>
      <c r="E76" s="4">
        <v>0</v>
      </c>
      <c r="F76" s="4">
        <v>0</v>
      </c>
      <c r="G76" s="4">
        <v>156000</v>
      </c>
      <c r="H76" s="4">
        <v>0</v>
      </c>
      <c r="I76" s="4">
        <v>156000</v>
      </c>
      <c r="J76" s="4">
        <v>156000</v>
      </c>
      <c r="K76" s="5">
        <v>0</v>
      </c>
      <c r="L76" s="4">
        <v>0</v>
      </c>
      <c r="M76" s="4">
        <v>0</v>
      </c>
      <c r="N76" s="4">
        <v>0</v>
      </c>
    </row>
    <row r="77" spans="1:14" x14ac:dyDescent="0.3">
      <c r="A77" s="1" t="s">
        <v>468</v>
      </c>
      <c r="B77" s="1" t="s">
        <v>697</v>
      </c>
      <c r="C77" s="4">
        <v>40046.400000000001</v>
      </c>
      <c r="D77" s="4">
        <v>0</v>
      </c>
      <c r="E77" s="4">
        <v>0</v>
      </c>
      <c r="F77" s="4">
        <v>0</v>
      </c>
      <c r="G77" s="4">
        <v>40046.400000000001</v>
      </c>
      <c r="H77" s="4">
        <v>0</v>
      </c>
      <c r="I77" s="4">
        <v>40046.400000000001</v>
      </c>
      <c r="J77" s="4">
        <v>40046.400000000001</v>
      </c>
      <c r="K77" s="5">
        <v>0</v>
      </c>
      <c r="L77" s="4">
        <v>0</v>
      </c>
      <c r="M77" s="4">
        <v>0</v>
      </c>
      <c r="N77" s="4">
        <v>0</v>
      </c>
    </row>
    <row r="78" spans="1:14" x14ac:dyDescent="0.3">
      <c r="A78" s="1" t="s">
        <v>473</v>
      </c>
      <c r="B78" s="1" t="s">
        <v>698</v>
      </c>
      <c r="C78" s="4">
        <v>26448.344533</v>
      </c>
      <c r="D78" s="4">
        <v>0</v>
      </c>
      <c r="E78" s="4">
        <v>0</v>
      </c>
      <c r="F78" s="4">
        <v>0</v>
      </c>
      <c r="G78" s="4">
        <v>26448.344587</v>
      </c>
      <c r="H78" s="4">
        <v>-5.3999999999999998E-5</v>
      </c>
      <c r="I78" s="4">
        <v>26448.344533</v>
      </c>
      <c r="J78" s="4">
        <v>26448.344587</v>
      </c>
      <c r="K78" s="5">
        <v>0</v>
      </c>
      <c r="L78" s="4">
        <v>0</v>
      </c>
      <c r="M78" s="4">
        <v>0</v>
      </c>
      <c r="N78" s="4">
        <v>0</v>
      </c>
    </row>
    <row r="79" spans="1:14" x14ac:dyDescent="0.3">
      <c r="A79" s="1" t="s">
        <v>483</v>
      </c>
      <c r="B79" s="1" t="s">
        <v>699</v>
      </c>
      <c r="C79" s="4">
        <v>4566.1000000000004</v>
      </c>
      <c r="D79" s="4">
        <v>0</v>
      </c>
      <c r="E79" s="4">
        <v>0</v>
      </c>
      <c r="F79" s="4">
        <v>0</v>
      </c>
      <c r="G79" s="4">
        <v>4566.1000000000004</v>
      </c>
      <c r="H79" s="4">
        <v>0</v>
      </c>
      <c r="I79" s="4">
        <v>4566.1000000000004</v>
      </c>
      <c r="J79" s="4">
        <v>4566.1000000000004</v>
      </c>
      <c r="K79" s="5">
        <v>0</v>
      </c>
      <c r="L79" s="4">
        <v>0</v>
      </c>
      <c r="M79" s="4">
        <v>0</v>
      </c>
      <c r="N79" s="4">
        <v>0</v>
      </c>
    </row>
    <row r="80" spans="1:14" x14ac:dyDescent="0.3">
      <c r="A80" s="1" t="s">
        <v>486</v>
      </c>
      <c r="B80" s="1" t="s">
        <v>700</v>
      </c>
      <c r="C80" s="4">
        <v>41611</v>
      </c>
      <c r="D80" s="4">
        <v>0</v>
      </c>
      <c r="E80" s="4">
        <v>0</v>
      </c>
      <c r="F80" s="4">
        <v>0</v>
      </c>
      <c r="G80" s="4">
        <v>41611</v>
      </c>
      <c r="H80" s="4">
        <v>0</v>
      </c>
      <c r="I80" s="4">
        <v>41611</v>
      </c>
      <c r="J80" s="4">
        <v>41611</v>
      </c>
      <c r="K80" s="5">
        <v>0</v>
      </c>
      <c r="L80" s="4">
        <v>0</v>
      </c>
      <c r="M80" s="4">
        <v>0</v>
      </c>
      <c r="N80" s="4">
        <v>0</v>
      </c>
    </row>
    <row r="81" spans="1:14" x14ac:dyDescent="0.3">
      <c r="A81" s="1" t="s">
        <v>489</v>
      </c>
      <c r="B81" s="1" t="s">
        <v>701</v>
      </c>
      <c r="C81" s="4">
        <v>18000</v>
      </c>
      <c r="D81" s="4">
        <v>0</v>
      </c>
      <c r="E81" s="4">
        <v>0</v>
      </c>
      <c r="F81" s="4">
        <v>0</v>
      </c>
      <c r="G81" s="4">
        <v>18000</v>
      </c>
      <c r="H81" s="4">
        <v>0</v>
      </c>
      <c r="I81" s="4">
        <v>18000</v>
      </c>
      <c r="J81" s="4">
        <v>18000</v>
      </c>
      <c r="K81" s="5">
        <v>0</v>
      </c>
      <c r="L81" s="4">
        <v>0</v>
      </c>
      <c r="M81" s="4">
        <v>0</v>
      </c>
      <c r="N81" s="4">
        <v>0</v>
      </c>
    </row>
    <row r="82" spans="1:14" x14ac:dyDescent="0.3">
      <c r="A82" s="1" t="s">
        <v>491</v>
      </c>
      <c r="B82" s="1" t="s">
        <v>702</v>
      </c>
      <c r="C82" s="4">
        <v>494000</v>
      </c>
      <c r="D82" s="4">
        <v>491000</v>
      </c>
      <c r="E82" s="4">
        <v>9820</v>
      </c>
      <c r="F82" s="4">
        <v>19820</v>
      </c>
      <c r="G82" s="4">
        <v>494000</v>
      </c>
      <c r="H82" s="4">
        <v>0</v>
      </c>
      <c r="I82" s="4">
        <v>484180</v>
      </c>
      <c r="J82" s="4">
        <v>484180</v>
      </c>
      <c r="K82" s="5">
        <v>1.9878E-2</v>
      </c>
      <c r="L82" s="4">
        <v>0</v>
      </c>
      <c r="M82" s="4">
        <v>0</v>
      </c>
      <c r="N82" s="4">
        <v>0</v>
      </c>
    </row>
    <row r="83" spans="1:14" x14ac:dyDescent="0.3">
      <c r="A83" s="1" t="s">
        <v>493</v>
      </c>
      <c r="B83" s="1" t="s">
        <v>703</v>
      </c>
      <c r="C83" s="4">
        <v>214000</v>
      </c>
      <c r="D83" s="4">
        <v>215000</v>
      </c>
      <c r="E83" s="4">
        <v>0</v>
      </c>
      <c r="F83" s="4">
        <v>10750</v>
      </c>
      <c r="G83" s="4">
        <v>214000</v>
      </c>
      <c r="H83" s="4">
        <v>0</v>
      </c>
      <c r="I83" s="4">
        <v>214000</v>
      </c>
      <c r="J83" s="4">
        <v>214000</v>
      </c>
      <c r="K83" s="5">
        <v>0</v>
      </c>
      <c r="L83" s="4">
        <v>0</v>
      </c>
      <c r="M83" s="4">
        <v>0</v>
      </c>
      <c r="N83" s="4">
        <v>0</v>
      </c>
    </row>
    <row r="84" spans="1:14" x14ac:dyDescent="0.3">
      <c r="A84" s="1" t="s">
        <v>495</v>
      </c>
      <c r="B84" s="1" t="s">
        <v>704</v>
      </c>
      <c r="C84" s="4">
        <v>33500</v>
      </c>
      <c r="D84" s="4">
        <v>0</v>
      </c>
      <c r="E84" s="4">
        <v>0</v>
      </c>
      <c r="F84" s="4">
        <v>0</v>
      </c>
      <c r="G84" s="4">
        <v>33500</v>
      </c>
      <c r="H84" s="4">
        <v>0</v>
      </c>
      <c r="I84" s="4">
        <v>33500</v>
      </c>
      <c r="J84" s="4">
        <v>33500</v>
      </c>
      <c r="K84" s="5">
        <v>0</v>
      </c>
      <c r="L84" s="4">
        <v>0</v>
      </c>
      <c r="M84" s="4">
        <v>0</v>
      </c>
      <c r="N84" s="4">
        <v>0</v>
      </c>
    </row>
    <row r="85" spans="1:14" x14ac:dyDescent="0.3">
      <c r="A85" s="1" t="s">
        <v>497</v>
      </c>
      <c r="B85" s="1" t="s">
        <v>705</v>
      </c>
      <c r="C85" s="4">
        <v>8268.75</v>
      </c>
      <c r="D85" s="4">
        <v>0</v>
      </c>
      <c r="E85" s="4">
        <v>0</v>
      </c>
      <c r="F85" s="4">
        <v>0</v>
      </c>
      <c r="G85" s="4">
        <v>8268.75</v>
      </c>
      <c r="H85" s="4">
        <v>0</v>
      </c>
      <c r="I85" s="4">
        <v>8268.75</v>
      </c>
      <c r="J85" s="4">
        <v>8268.75</v>
      </c>
      <c r="K85" s="5">
        <v>0</v>
      </c>
      <c r="L85" s="4">
        <v>0</v>
      </c>
      <c r="M85" s="4">
        <v>0</v>
      </c>
      <c r="N85" s="4">
        <v>0</v>
      </c>
    </row>
    <row r="86" spans="1:14" x14ac:dyDescent="0.3">
      <c r="A86" s="1" t="s">
        <v>500</v>
      </c>
      <c r="B86" s="1" t="s">
        <v>706</v>
      </c>
      <c r="C86" s="4">
        <v>6284.25</v>
      </c>
      <c r="D86" s="4">
        <v>0</v>
      </c>
      <c r="E86" s="4">
        <v>0</v>
      </c>
      <c r="F86" s="4">
        <v>0</v>
      </c>
      <c r="G86" s="4">
        <v>6284.25</v>
      </c>
      <c r="H86" s="4">
        <v>0</v>
      </c>
      <c r="I86" s="4">
        <v>6284.25</v>
      </c>
      <c r="J86" s="4">
        <v>6284.25</v>
      </c>
      <c r="K86" s="5">
        <v>0</v>
      </c>
      <c r="L86" s="4">
        <v>0</v>
      </c>
      <c r="M86" s="4">
        <v>0</v>
      </c>
      <c r="N86" s="4">
        <v>0</v>
      </c>
    </row>
    <row r="87" spans="1:14" x14ac:dyDescent="0.3">
      <c r="A87" s="1" t="s">
        <v>502</v>
      </c>
      <c r="B87" s="1" t="s">
        <v>707</v>
      </c>
      <c r="C87" s="4">
        <v>27996</v>
      </c>
      <c r="D87" s="4">
        <v>0</v>
      </c>
      <c r="E87" s="4">
        <v>7182.3919999999998</v>
      </c>
      <c r="F87" s="4">
        <v>7403.3919999999998</v>
      </c>
      <c r="G87" s="4">
        <v>27996</v>
      </c>
      <c r="H87" s="4">
        <v>0</v>
      </c>
      <c r="I87" s="4">
        <v>20813.608</v>
      </c>
      <c r="J87" s="4">
        <v>20813.608</v>
      </c>
      <c r="K87" s="5">
        <v>0.25655</v>
      </c>
      <c r="L87" s="4">
        <v>0</v>
      </c>
      <c r="M87" s="4">
        <v>0</v>
      </c>
      <c r="N87" s="4">
        <v>0</v>
      </c>
    </row>
    <row r="88" spans="1:14" x14ac:dyDescent="0.3">
      <c r="A88" s="1" t="s">
        <v>505</v>
      </c>
      <c r="B88" s="1" t="s">
        <v>708</v>
      </c>
      <c r="C88" s="4">
        <v>1507.5</v>
      </c>
      <c r="D88" s="4">
        <v>0</v>
      </c>
      <c r="E88" s="4">
        <v>0</v>
      </c>
      <c r="F88" s="4">
        <v>0</v>
      </c>
      <c r="G88" s="4">
        <v>1507.5</v>
      </c>
      <c r="H88" s="4">
        <v>0</v>
      </c>
      <c r="I88" s="4">
        <v>1507.5</v>
      </c>
      <c r="J88" s="4">
        <v>1507.5</v>
      </c>
      <c r="K88" s="5">
        <v>0</v>
      </c>
      <c r="L88" s="4">
        <v>0</v>
      </c>
      <c r="M88" s="4">
        <v>0</v>
      </c>
      <c r="N88" s="4">
        <v>0</v>
      </c>
    </row>
    <row r="89" spans="1:14" x14ac:dyDescent="0.3">
      <c r="A89" s="1" t="s">
        <v>508</v>
      </c>
      <c r="B89" s="1" t="s">
        <v>709</v>
      </c>
      <c r="C89" s="4">
        <v>8728.3439999999991</v>
      </c>
      <c r="D89" s="4">
        <v>0</v>
      </c>
      <c r="E89" s="4">
        <v>1209.0999999999999</v>
      </c>
      <c r="F89" s="4">
        <v>1209.0999999999999</v>
      </c>
      <c r="G89" s="4">
        <v>8728.3439999999991</v>
      </c>
      <c r="H89" s="4">
        <v>0</v>
      </c>
      <c r="I89" s="4">
        <v>7519.2439999999997</v>
      </c>
      <c r="J89" s="4">
        <v>7519.2439999999997</v>
      </c>
      <c r="K89" s="5">
        <v>0.13852500000000001</v>
      </c>
      <c r="L89" s="4">
        <v>0</v>
      </c>
      <c r="M89" s="4">
        <v>0</v>
      </c>
      <c r="N89" s="4">
        <v>0</v>
      </c>
    </row>
    <row r="90" spans="1:14" x14ac:dyDescent="0.3">
      <c r="A90" s="1" t="s">
        <v>512</v>
      </c>
      <c r="B90" s="1" t="s">
        <v>710</v>
      </c>
      <c r="C90" s="4">
        <v>10359.459876999999</v>
      </c>
      <c r="D90" s="4">
        <v>0</v>
      </c>
      <c r="E90" s="4">
        <v>0</v>
      </c>
      <c r="F90" s="4">
        <v>0</v>
      </c>
      <c r="G90" s="4">
        <v>10359.459876999999</v>
      </c>
      <c r="H90" s="4">
        <v>0</v>
      </c>
      <c r="I90" s="4">
        <v>10359.459876999999</v>
      </c>
      <c r="J90" s="4">
        <v>10359.459876999999</v>
      </c>
      <c r="K90" s="5">
        <v>0</v>
      </c>
      <c r="L90" s="4">
        <v>0</v>
      </c>
      <c r="M90" s="4">
        <v>0</v>
      </c>
      <c r="N90" s="4">
        <v>0</v>
      </c>
    </row>
    <row r="91" spans="1:14" x14ac:dyDescent="0.3">
      <c r="A91" s="1" t="s">
        <v>514</v>
      </c>
      <c r="B91" s="1" t="s">
        <v>515</v>
      </c>
      <c r="C91" s="4">
        <v>23814.750650999998</v>
      </c>
      <c r="D91" s="4">
        <v>0</v>
      </c>
      <c r="E91" s="4">
        <v>675.86</v>
      </c>
      <c r="F91" s="4">
        <v>2480.48</v>
      </c>
      <c r="G91" s="4">
        <v>23814.749995999999</v>
      </c>
      <c r="H91" s="4">
        <v>6.5499999999999998E-4</v>
      </c>
      <c r="I91" s="4">
        <v>23138.890651000002</v>
      </c>
      <c r="J91" s="4">
        <v>23138.889996000002</v>
      </c>
      <c r="K91" s="5">
        <v>2.8379000000000001E-2</v>
      </c>
      <c r="L91" s="4">
        <v>0</v>
      </c>
      <c r="M91" s="4">
        <v>0</v>
      </c>
      <c r="N91" s="4">
        <v>0</v>
      </c>
    </row>
    <row r="92" spans="1:14" x14ac:dyDescent="0.3">
      <c r="A92" s="1" t="s">
        <v>517</v>
      </c>
      <c r="B92" s="1" t="s">
        <v>711</v>
      </c>
      <c r="C92" s="4">
        <v>51060</v>
      </c>
      <c r="D92" s="4">
        <v>0</v>
      </c>
      <c r="E92" s="4">
        <v>180.16</v>
      </c>
      <c r="F92" s="4">
        <v>180.16</v>
      </c>
      <c r="G92" s="4">
        <v>51060</v>
      </c>
      <c r="H92" s="4">
        <v>0</v>
      </c>
      <c r="I92" s="4">
        <v>50879.839999999997</v>
      </c>
      <c r="J92" s="4">
        <v>50879.839999999997</v>
      </c>
      <c r="K92" s="5">
        <v>3.5279999999999999E-3</v>
      </c>
      <c r="L92" s="4">
        <v>0</v>
      </c>
      <c r="M92" s="4">
        <v>0</v>
      </c>
      <c r="N92" s="4">
        <v>0</v>
      </c>
    </row>
    <row r="93" spans="1:14" x14ac:dyDescent="0.3">
      <c r="A93" s="1" t="s">
        <v>520</v>
      </c>
      <c r="B93" s="1" t="s">
        <v>712</v>
      </c>
      <c r="C93" s="4">
        <v>7403.4</v>
      </c>
      <c r="D93" s="4">
        <v>0</v>
      </c>
      <c r="E93" s="4">
        <v>5721.18</v>
      </c>
      <c r="F93" s="4">
        <v>5721.18</v>
      </c>
      <c r="G93" s="4">
        <v>7403.4</v>
      </c>
      <c r="H93" s="4">
        <v>0</v>
      </c>
      <c r="I93" s="4">
        <v>1682.22</v>
      </c>
      <c r="J93" s="4">
        <v>1682.22</v>
      </c>
      <c r="K93" s="5">
        <v>0.77277700000000005</v>
      </c>
      <c r="L93" s="4">
        <v>0</v>
      </c>
      <c r="M93" s="4">
        <v>0</v>
      </c>
      <c r="N93" s="4">
        <v>0</v>
      </c>
    </row>
    <row r="94" spans="1:14" x14ac:dyDescent="0.3">
      <c r="A94" s="1" t="s">
        <v>524</v>
      </c>
      <c r="B94" s="1" t="s">
        <v>713</v>
      </c>
      <c r="C94" s="4">
        <v>8190</v>
      </c>
      <c r="D94" s="4">
        <v>0</v>
      </c>
      <c r="E94" s="4">
        <v>585.79999999999995</v>
      </c>
      <c r="F94" s="4">
        <v>585.79999999999995</v>
      </c>
      <c r="G94" s="4">
        <v>89985</v>
      </c>
      <c r="H94" s="4">
        <v>-81795</v>
      </c>
      <c r="I94" s="4">
        <v>7604.2</v>
      </c>
      <c r="J94" s="4">
        <v>89399.2</v>
      </c>
      <c r="K94" s="5">
        <v>6.509E-3</v>
      </c>
      <c r="L94" s="4">
        <v>0</v>
      </c>
      <c r="M94" s="4">
        <v>0</v>
      </c>
      <c r="N94" s="4">
        <v>0</v>
      </c>
    </row>
    <row r="95" spans="1:14" x14ac:dyDescent="0.3">
      <c r="A95" s="1" t="s">
        <v>529</v>
      </c>
      <c r="B95" s="1" t="s">
        <v>714</v>
      </c>
      <c r="C95" s="4">
        <v>81795</v>
      </c>
      <c r="D95" s="4">
        <v>0</v>
      </c>
      <c r="E95" s="4">
        <v>19390</v>
      </c>
      <c r="F95" s="4">
        <v>23275.599999999999</v>
      </c>
      <c r="G95" s="4">
        <v>0</v>
      </c>
      <c r="H95" s="4">
        <v>81795</v>
      </c>
      <c r="I95" s="4">
        <v>62405</v>
      </c>
      <c r="J95" s="4">
        <v>-19390</v>
      </c>
      <c r="K95" s="5">
        <v>0</v>
      </c>
      <c r="L95" s="4">
        <v>0</v>
      </c>
      <c r="M95" s="4">
        <v>0</v>
      </c>
      <c r="N95" s="4">
        <v>0</v>
      </c>
    </row>
    <row r="96" spans="1:14" x14ac:dyDescent="0.3">
      <c r="A96" s="1" t="s">
        <v>531</v>
      </c>
      <c r="B96" s="1" t="s">
        <v>715</v>
      </c>
      <c r="C96" s="4">
        <v>12260</v>
      </c>
      <c r="D96" s="4">
        <v>0</v>
      </c>
      <c r="E96" s="4">
        <v>0</v>
      </c>
      <c r="F96" s="4">
        <v>0</v>
      </c>
      <c r="G96" s="4">
        <v>12260</v>
      </c>
      <c r="H96" s="4">
        <v>0</v>
      </c>
      <c r="I96" s="4">
        <v>12260</v>
      </c>
      <c r="J96" s="4">
        <v>12260</v>
      </c>
      <c r="K96" s="5">
        <v>0</v>
      </c>
      <c r="L96" s="4">
        <v>0</v>
      </c>
      <c r="M96" s="4">
        <v>0</v>
      </c>
      <c r="N96" s="4">
        <v>0</v>
      </c>
    </row>
    <row r="97" spans="1:14" x14ac:dyDescent="0.3">
      <c r="A97" s="1" t="s">
        <v>533</v>
      </c>
      <c r="B97" s="1" t="s">
        <v>716</v>
      </c>
      <c r="C97" s="4">
        <v>35040</v>
      </c>
      <c r="D97" s="4">
        <v>0</v>
      </c>
      <c r="E97" s="4">
        <v>1587.29</v>
      </c>
      <c r="F97" s="4">
        <v>1587.29</v>
      </c>
      <c r="G97" s="4">
        <v>35040</v>
      </c>
      <c r="H97" s="4">
        <v>0</v>
      </c>
      <c r="I97" s="4">
        <v>33452.71</v>
      </c>
      <c r="J97" s="4">
        <v>33452.71</v>
      </c>
      <c r="K97" s="5">
        <v>4.5298999999999999E-2</v>
      </c>
      <c r="L97" s="4">
        <v>0</v>
      </c>
      <c r="M97" s="4">
        <v>0</v>
      </c>
      <c r="N97" s="4">
        <v>0</v>
      </c>
    </row>
    <row r="98" spans="1:14" x14ac:dyDescent="0.3">
      <c r="A98" s="1" t="s">
        <v>538</v>
      </c>
      <c r="B98" s="1" t="s">
        <v>717</v>
      </c>
      <c r="C98" s="4">
        <v>30474</v>
      </c>
      <c r="D98" s="4">
        <v>0</v>
      </c>
      <c r="E98" s="4">
        <v>6816.65</v>
      </c>
      <c r="F98" s="4">
        <v>7249.07</v>
      </c>
      <c r="G98" s="4">
        <v>30474</v>
      </c>
      <c r="H98" s="4">
        <v>0</v>
      </c>
      <c r="I98" s="4">
        <v>23657.35</v>
      </c>
      <c r="J98" s="4">
        <v>23657.35</v>
      </c>
      <c r="K98" s="5">
        <v>0.223687</v>
      </c>
      <c r="L98" s="4">
        <v>0</v>
      </c>
      <c r="M98" s="4">
        <v>0</v>
      </c>
      <c r="N98" s="4">
        <v>0</v>
      </c>
    </row>
    <row r="99" spans="1:14" x14ac:dyDescent="0.3">
      <c r="A99" s="1" t="s">
        <v>541</v>
      </c>
      <c r="B99" s="1" t="s">
        <v>542</v>
      </c>
      <c r="C99" s="4">
        <v>4465</v>
      </c>
      <c r="D99" s="4">
        <v>0</v>
      </c>
      <c r="E99" s="4">
        <v>1388.3</v>
      </c>
      <c r="F99" s="4">
        <v>1515.37</v>
      </c>
      <c r="G99" s="4">
        <v>4465</v>
      </c>
      <c r="H99" s="4">
        <v>0</v>
      </c>
      <c r="I99" s="4">
        <v>3076.7</v>
      </c>
      <c r="J99" s="4">
        <v>3076.7</v>
      </c>
      <c r="K99" s="5">
        <v>0.31092900000000001</v>
      </c>
      <c r="L99" s="4">
        <v>0</v>
      </c>
      <c r="M99" s="4">
        <v>0</v>
      </c>
      <c r="N99" s="4">
        <v>0</v>
      </c>
    </row>
    <row r="100" spans="1:14" x14ac:dyDescent="0.3">
      <c r="A100" s="1" t="s">
        <v>543</v>
      </c>
      <c r="B100" s="1" t="s">
        <v>718</v>
      </c>
      <c r="C100" s="4">
        <v>15750</v>
      </c>
      <c r="D100" s="4">
        <v>0</v>
      </c>
      <c r="E100" s="4">
        <v>2294.5100000000002</v>
      </c>
      <c r="F100" s="4">
        <v>2294.5100000000002</v>
      </c>
      <c r="G100" s="4">
        <v>15750</v>
      </c>
      <c r="H100" s="4">
        <v>0</v>
      </c>
      <c r="I100" s="4">
        <v>13455.49</v>
      </c>
      <c r="J100" s="4">
        <v>13455.49</v>
      </c>
      <c r="K100" s="5">
        <v>0.14568300000000001</v>
      </c>
      <c r="L100" s="4">
        <v>0</v>
      </c>
      <c r="M100" s="4">
        <v>0</v>
      </c>
      <c r="N100" s="4">
        <v>0</v>
      </c>
    </row>
    <row r="101" spans="1:14" x14ac:dyDescent="0.3">
      <c r="A101" s="1" t="s">
        <v>546</v>
      </c>
      <c r="B101" s="1" t="s">
        <v>719</v>
      </c>
      <c r="C101" s="4">
        <v>2304</v>
      </c>
      <c r="D101" s="4">
        <v>0</v>
      </c>
      <c r="E101" s="4">
        <v>141.74</v>
      </c>
      <c r="F101" s="4">
        <v>141.74</v>
      </c>
      <c r="G101" s="4">
        <v>2304</v>
      </c>
      <c r="H101" s="4">
        <v>0</v>
      </c>
      <c r="I101" s="4">
        <v>2162.2600000000002</v>
      </c>
      <c r="J101" s="4">
        <v>2162.2600000000002</v>
      </c>
      <c r="K101" s="5">
        <v>6.1518999999999997E-2</v>
      </c>
      <c r="L101" s="4">
        <v>0</v>
      </c>
      <c r="M101" s="4">
        <v>0</v>
      </c>
      <c r="N101" s="4">
        <v>0</v>
      </c>
    </row>
    <row r="102" spans="1:14" x14ac:dyDescent="0.3">
      <c r="A102" s="1" t="s">
        <v>548</v>
      </c>
      <c r="B102" s="1" t="s">
        <v>720</v>
      </c>
      <c r="C102" s="4">
        <v>6802</v>
      </c>
      <c r="D102" s="4">
        <v>0</v>
      </c>
      <c r="E102" s="4">
        <v>0</v>
      </c>
      <c r="F102" s="4">
        <v>0</v>
      </c>
      <c r="G102" s="4">
        <v>6802</v>
      </c>
      <c r="H102" s="4">
        <v>0</v>
      </c>
      <c r="I102" s="4">
        <v>6802</v>
      </c>
      <c r="J102" s="4">
        <v>6802</v>
      </c>
      <c r="K102" s="5">
        <v>0</v>
      </c>
      <c r="L102" s="4">
        <v>0</v>
      </c>
      <c r="M102" s="4">
        <v>0</v>
      </c>
      <c r="N102" s="4">
        <v>0</v>
      </c>
    </row>
    <row r="103" spans="1:14" x14ac:dyDescent="0.3">
      <c r="A103" s="1" t="s">
        <v>550</v>
      </c>
      <c r="B103" s="1" t="s">
        <v>721</v>
      </c>
      <c r="C103" s="4">
        <v>14000</v>
      </c>
      <c r="D103" s="4">
        <v>0</v>
      </c>
      <c r="E103" s="4">
        <v>6480.02</v>
      </c>
      <c r="F103" s="4">
        <v>6480.02</v>
      </c>
      <c r="G103" s="4">
        <v>14000</v>
      </c>
      <c r="H103" s="4">
        <v>0</v>
      </c>
      <c r="I103" s="4">
        <v>7519.98</v>
      </c>
      <c r="J103" s="4">
        <v>7519.98</v>
      </c>
      <c r="K103" s="5">
        <v>0.46285799999999999</v>
      </c>
      <c r="L103" s="4">
        <v>0</v>
      </c>
      <c r="M103" s="4">
        <v>0</v>
      </c>
      <c r="N103" s="4">
        <v>0</v>
      </c>
    </row>
    <row r="104" spans="1:14" x14ac:dyDescent="0.3">
      <c r="A104" s="1" t="s">
        <v>553</v>
      </c>
      <c r="B104" s="1" t="s">
        <v>722</v>
      </c>
      <c r="C104" s="4">
        <v>22090</v>
      </c>
      <c r="D104" s="4">
        <v>0</v>
      </c>
      <c r="E104" s="4">
        <v>2476.46</v>
      </c>
      <c r="F104" s="4">
        <v>2476.46</v>
      </c>
      <c r="G104" s="4">
        <v>22090</v>
      </c>
      <c r="H104" s="4">
        <v>0</v>
      </c>
      <c r="I104" s="4">
        <v>19613.54</v>
      </c>
      <c r="J104" s="4">
        <v>19613.54</v>
      </c>
      <c r="K104" s="5">
        <v>0.112107</v>
      </c>
      <c r="L104" s="4">
        <v>0</v>
      </c>
      <c r="M104" s="4">
        <v>0</v>
      </c>
      <c r="N104" s="4">
        <v>0</v>
      </c>
    </row>
    <row r="105" spans="1:14" x14ac:dyDescent="0.3">
      <c r="A105" s="1" t="s">
        <v>560</v>
      </c>
      <c r="B105" s="1" t="s">
        <v>723</v>
      </c>
      <c r="C105" s="4">
        <v>220000</v>
      </c>
      <c r="D105" s="4">
        <v>0</v>
      </c>
      <c r="E105" s="4">
        <v>40209.584999999999</v>
      </c>
      <c r="F105" s="4">
        <v>40209.584999999999</v>
      </c>
      <c r="G105" s="4">
        <v>220000</v>
      </c>
      <c r="H105" s="4">
        <v>0</v>
      </c>
      <c r="I105" s="4">
        <v>179790.41500000001</v>
      </c>
      <c r="J105" s="4">
        <v>179790.41500000001</v>
      </c>
      <c r="K105" s="5">
        <v>0.18276999999999999</v>
      </c>
      <c r="L105" s="4">
        <v>0</v>
      </c>
      <c r="M105" s="4">
        <v>0</v>
      </c>
      <c r="N105" s="4">
        <v>0</v>
      </c>
    </row>
    <row r="106" spans="1:14" x14ac:dyDescent="0.3">
      <c r="A106" s="1" t="s">
        <v>562</v>
      </c>
      <c r="B106" s="1" t="s">
        <v>724</v>
      </c>
      <c r="C106" s="4">
        <v>13271</v>
      </c>
      <c r="D106" s="4">
        <v>0</v>
      </c>
      <c r="E106" s="4">
        <v>2081.71</v>
      </c>
      <c r="F106" s="4">
        <v>2153.71</v>
      </c>
      <c r="G106" s="4">
        <v>13271</v>
      </c>
      <c r="H106" s="4">
        <v>0</v>
      </c>
      <c r="I106" s="4">
        <v>11189.29</v>
      </c>
      <c r="J106" s="4">
        <v>11189.29</v>
      </c>
      <c r="K106" s="5">
        <v>0.156861</v>
      </c>
      <c r="L106" s="4">
        <v>0</v>
      </c>
      <c r="M106" s="4">
        <v>0</v>
      </c>
      <c r="N106" s="4">
        <v>0</v>
      </c>
    </row>
    <row r="107" spans="1:14" x14ac:dyDescent="0.3">
      <c r="A107" s="1" t="s">
        <v>568</v>
      </c>
      <c r="B107" s="1" t="s">
        <v>569</v>
      </c>
      <c r="C107" s="4">
        <v>3638.25</v>
      </c>
      <c r="D107" s="4">
        <v>0</v>
      </c>
      <c r="E107" s="4">
        <v>0</v>
      </c>
      <c r="F107" s="4">
        <v>0</v>
      </c>
      <c r="G107" s="4">
        <v>3638.25</v>
      </c>
      <c r="H107" s="4">
        <v>0</v>
      </c>
      <c r="I107" s="4">
        <v>3638.25</v>
      </c>
      <c r="J107" s="4">
        <v>3638.25</v>
      </c>
      <c r="K107" s="5">
        <v>0</v>
      </c>
      <c r="L107" s="4">
        <v>0</v>
      </c>
      <c r="M107" s="4">
        <v>0</v>
      </c>
      <c r="N107" s="4">
        <v>0</v>
      </c>
    </row>
    <row r="108" spans="1:14" x14ac:dyDescent="0.3">
      <c r="A108" s="1" t="s">
        <v>570</v>
      </c>
      <c r="B108" s="1" t="s">
        <v>725</v>
      </c>
      <c r="C108" s="4">
        <v>8210</v>
      </c>
      <c r="D108" s="4">
        <v>0</v>
      </c>
      <c r="E108" s="4">
        <v>368</v>
      </c>
      <c r="F108" s="4">
        <v>368</v>
      </c>
      <c r="G108" s="4">
        <v>8210</v>
      </c>
      <c r="H108" s="4">
        <v>0</v>
      </c>
      <c r="I108" s="4">
        <v>7842</v>
      </c>
      <c r="J108" s="4">
        <v>7842</v>
      </c>
      <c r="K108" s="5">
        <v>4.4823000000000002E-2</v>
      </c>
      <c r="L108" s="4">
        <v>0</v>
      </c>
      <c r="M108" s="4">
        <v>0</v>
      </c>
      <c r="N108" s="4">
        <v>0</v>
      </c>
    </row>
    <row r="109" spans="1:14" x14ac:dyDescent="0.3">
      <c r="A109" s="1" t="s">
        <v>573</v>
      </c>
      <c r="B109" s="1" t="s">
        <v>726</v>
      </c>
      <c r="C109" s="4">
        <v>488</v>
      </c>
      <c r="D109" s="4">
        <v>0</v>
      </c>
      <c r="E109" s="4">
        <v>0</v>
      </c>
      <c r="F109" s="4">
        <v>0</v>
      </c>
      <c r="G109" s="4">
        <v>488</v>
      </c>
      <c r="H109" s="4">
        <v>0</v>
      </c>
      <c r="I109" s="4">
        <v>488</v>
      </c>
      <c r="J109" s="4">
        <v>488</v>
      </c>
      <c r="K109" s="5">
        <v>0</v>
      </c>
      <c r="L109" s="4">
        <v>0</v>
      </c>
      <c r="M109" s="4">
        <v>0</v>
      </c>
      <c r="N109" s="4">
        <v>0</v>
      </c>
    </row>
    <row r="110" spans="1:14" x14ac:dyDescent="0.3">
      <c r="A110" s="1" t="s">
        <v>575</v>
      </c>
      <c r="B110" s="1" t="s">
        <v>727</v>
      </c>
      <c r="C110" s="4">
        <v>56760</v>
      </c>
      <c r="D110" s="4">
        <v>0</v>
      </c>
      <c r="E110" s="4">
        <v>1165.248</v>
      </c>
      <c r="F110" s="4">
        <v>1165.248</v>
      </c>
      <c r="G110" s="4">
        <v>56760</v>
      </c>
      <c r="H110" s="4">
        <v>0</v>
      </c>
      <c r="I110" s="4">
        <v>55594.752</v>
      </c>
      <c r="J110" s="4">
        <v>55594.752</v>
      </c>
      <c r="K110" s="5">
        <v>2.0528999999999999E-2</v>
      </c>
      <c r="L110" s="4">
        <v>0</v>
      </c>
      <c r="M110" s="4">
        <v>0</v>
      </c>
      <c r="N110" s="4">
        <v>0</v>
      </c>
    </row>
    <row r="111" spans="1:14" x14ac:dyDescent="0.3">
      <c r="A111" s="1" t="s">
        <v>578</v>
      </c>
      <c r="B111" s="1" t="s">
        <v>579</v>
      </c>
      <c r="C111" s="4">
        <v>17850</v>
      </c>
      <c r="D111" s="4">
        <v>0</v>
      </c>
      <c r="E111" s="4">
        <v>0</v>
      </c>
      <c r="F111" s="4">
        <v>0</v>
      </c>
      <c r="G111" s="4">
        <v>17850</v>
      </c>
      <c r="H111" s="4">
        <v>0</v>
      </c>
      <c r="I111" s="4">
        <v>17850</v>
      </c>
      <c r="J111" s="4">
        <v>17850</v>
      </c>
      <c r="K111" s="5">
        <v>0</v>
      </c>
      <c r="L111" s="4">
        <v>0</v>
      </c>
      <c r="M111" s="4">
        <v>0</v>
      </c>
      <c r="N111" s="4">
        <v>0</v>
      </c>
    </row>
    <row r="112" spans="1:14" x14ac:dyDescent="0.3">
      <c r="A112" s="1" t="s">
        <v>580</v>
      </c>
      <c r="B112" s="1" t="s">
        <v>581</v>
      </c>
      <c r="C112" s="4">
        <v>7909.0627780000004</v>
      </c>
      <c r="D112" s="4">
        <v>0</v>
      </c>
      <c r="E112" s="4">
        <v>416.2</v>
      </c>
      <c r="F112" s="4">
        <v>416.2</v>
      </c>
      <c r="G112" s="4">
        <v>7909.062508</v>
      </c>
      <c r="H112" s="4">
        <v>2.7E-4</v>
      </c>
      <c r="I112" s="4">
        <v>7492.8627779999997</v>
      </c>
      <c r="J112" s="4">
        <v>7492.8625080000002</v>
      </c>
      <c r="K112" s="5">
        <v>5.2623000000000003E-2</v>
      </c>
      <c r="L112" s="4">
        <v>0</v>
      </c>
      <c r="M112" s="4">
        <v>0</v>
      </c>
      <c r="N112" s="4">
        <v>0</v>
      </c>
    </row>
    <row r="113" spans="1:14" x14ac:dyDescent="0.3">
      <c r="A113" s="1" t="s">
        <v>584</v>
      </c>
      <c r="B113" s="1" t="s">
        <v>728</v>
      </c>
      <c r="C113" s="4">
        <v>1088.0000010000001</v>
      </c>
      <c r="D113" s="4">
        <v>0</v>
      </c>
      <c r="E113" s="4">
        <v>1064.97</v>
      </c>
      <c r="F113" s="4">
        <v>1172.49</v>
      </c>
      <c r="G113" s="4">
        <v>1088</v>
      </c>
      <c r="H113" s="4">
        <v>9.9999999999999995E-7</v>
      </c>
      <c r="I113" s="4">
        <v>23.030000999999999</v>
      </c>
      <c r="J113" s="4">
        <v>23.03</v>
      </c>
      <c r="K113" s="5">
        <v>0.97883200000000004</v>
      </c>
      <c r="L113" s="4">
        <v>0</v>
      </c>
      <c r="M113" s="4">
        <v>0</v>
      </c>
      <c r="N113" s="4">
        <v>0</v>
      </c>
    </row>
    <row r="114" spans="1:14" x14ac:dyDescent="0.3">
      <c r="A114" s="1" t="s">
        <v>586</v>
      </c>
      <c r="B114" s="1" t="s">
        <v>729</v>
      </c>
      <c r="C114" s="4">
        <v>14400</v>
      </c>
      <c r="D114" s="4">
        <v>0</v>
      </c>
      <c r="E114" s="4">
        <v>1850.4</v>
      </c>
      <c r="F114" s="4">
        <v>3630.4</v>
      </c>
      <c r="G114" s="4">
        <v>14400</v>
      </c>
      <c r="H114" s="4">
        <v>0</v>
      </c>
      <c r="I114" s="4">
        <v>12549.6</v>
      </c>
      <c r="J114" s="4">
        <v>12549.6</v>
      </c>
      <c r="K114" s="5">
        <v>0.1285</v>
      </c>
      <c r="L114" s="4">
        <v>0</v>
      </c>
      <c r="M114" s="4">
        <v>0</v>
      </c>
      <c r="N114" s="4">
        <v>0</v>
      </c>
    </row>
    <row r="115" spans="1:14" x14ac:dyDescent="0.3">
      <c r="A115" s="1" t="s">
        <v>730</v>
      </c>
      <c r="B115" s="1" t="s">
        <v>731</v>
      </c>
      <c r="C115" s="4">
        <v>0</v>
      </c>
      <c r="D115" s="4">
        <v>0</v>
      </c>
      <c r="E115" s="4">
        <v>411.26400000000001</v>
      </c>
      <c r="F115" s="4">
        <v>411.26400000000001</v>
      </c>
      <c r="G115" s="4">
        <v>0</v>
      </c>
      <c r="H115" s="4">
        <v>0</v>
      </c>
      <c r="I115" s="4">
        <v>-411.26400000000001</v>
      </c>
      <c r="J115" s="4">
        <v>-411.26400000000001</v>
      </c>
      <c r="K115" s="5">
        <v>0</v>
      </c>
      <c r="L115" s="4">
        <v>0</v>
      </c>
      <c r="M115" s="4">
        <v>0</v>
      </c>
      <c r="N115" s="4">
        <v>0</v>
      </c>
    </row>
    <row r="116" spans="1:14" x14ac:dyDescent="0.3">
      <c r="B116" s="1" t="s">
        <v>732</v>
      </c>
      <c r="C116" s="4">
        <v>1242150</v>
      </c>
      <c r="D116" s="4">
        <v>0</v>
      </c>
      <c r="E116" s="4">
        <v>0</v>
      </c>
      <c r="F116" s="4">
        <v>0</v>
      </c>
      <c r="G116" s="4">
        <v>1242150</v>
      </c>
      <c r="H116" s="4">
        <v>0</v>
      </c>
      <c r="I116" s="4">
        <v>1242150</v>
      </c>
      <c r="J116" s="4">
        <v>1242150</v>
      </c>
      <c r="K116" s="5">
        <v>0</v>
      </c>
      <c r="L116" s="4">
        <v>0</v>
      </c>
      <c r="M116" s="4">
        <v>0</v>
      </c>
      <c r="N116" s="4">
        <v>0</v>
      </c>
    </row>
    <row r="117" spans="1:14" x14ac:dyDescent="0.3">
      <c r="A117" s="1" t="s">
        <v>733</v>
      </c>
      <c r="B117" s="1" t="s">
        <v>734</v>
      </c>
      <c r="C117" s="4">
        <v>0</v>
      </c>
      <c r="D117" s="4">
        <v>0</v>
      </c>
      <c r="E117" s="4">
        <v>0</v>
      </c>
      <c r="F117" s="4">
        <v>63002.37</v>
      </c>
      <c r="G117" s="4">
        <v>0</v>
      </c>
      <c r="H117" s="4">
        <v>0</v>
      </c>
      <c r="I117" s="4">
        <v>0</v>
      </c>
      <c r="J117" s="4">
        <v>0</v>
      </c>
      <c r="K117" s="5">
        <v>0</v>
      </c>
      <c r="L117" s="4">
        <v>0</v>
      </c>
      <c r="M117" s="4">
        <v>0</v>
      </c>
      <c r="N117" s="4">
        <v>0</v>
      </c>
    </row>
    <row r="118" spans="1:14" x14ac:dyDescent="0.3">
      <c r="A118" s="1" t="s">
        <v>735</v>
      </c>
      <c r="B118" s="1" t="s">
        <v>736</v>
      </c>
      <c r="C118" s="4">
        <v>0</v>
      </c>
      <c r="D118" s="4">
        <v>0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5">
        <v>0</v>
      </c>
      <c r="L118" s="4">
        <v>0</v>
      </c>
      <c r="M118" s="4">
        <v>0</v>
      </c>
      <c r="N118" s="4">
        <v>0</v>
      </c>
    </row>
    <row r="119" spans="1:14" x14ac:dyDescent="0.3">
      <c r="A119" s="59"/>
      <c r="B119" s="59"/>
      <c r="C119" s="60">
        <f>SUBTOTAL(9,C2:C118)</f>
        <v>6615715.2383790016</v>
      </c>
      <c r="D119" s="59"/>
      <c r="E119" s="60">
        <f>SUBTOTAL(9,E2:E118)</f>
        <v>774397.11899999995</v>
      </c>
      <c r="F119" s="59"/>
      <c r="G119" s="60">
        <f>SUBTOTAL(9,G2:G118)</f>
        <v>6615715.2352460008</v>
      </c>
      <c r="H119" s="59"/>
      <c r="I119" s="59"/>
      <c r="J119" s="59"/>
      <c r="K119" s="59"/>
      <c r="L119" s="60">
        <f>SUBTOTAL(9,L2:L118)</f>
        <v>0</v>
      </c>
      <c r="M119" s="60">
        <f>SUBTOTAL(9,M2:M118)</f>
        <v>0</v>
      </c>
      <c r="N119" s="60">
        <f>SUBTOTAL(9,N2:N118)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Laskentataulukot</vt:lpstr>
      </vt:variant>
      <vt:variant>
        <vt:i4>5</vt:i4>
      </vt:variant>
    </vt:vector>
  </HeadingPairs>
  <TitlesOfParts>
    <vt:vector size="5" baseType="lpstr">
      <vt:lpstr>Ennuste</vt:lpstr>
      <vt:lpstr>Pääryhmätaso</vt:lpstr>
      <vt:lpstr>MuistioArkisto</vt:lpstr>
      <vt:lpstr>Tavo_Ennuste</vt:lpstr>
      <vt:lpstr>Jyda-ajo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2025-04-04T06:00:16Z</dcterms:created>
  <dcterms:modified xsi:type="dcterms:W3CDTF">2025-12-21T05:42:29Z</dcterms:modified>
  <cp:category/>
</cp:coreProperties>
</file>